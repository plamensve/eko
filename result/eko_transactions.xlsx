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veto\OneDrive\Desktop\eko_inv\result\"/>
    </mc:Choice>
  </mc:AlternateContent>
  <xr:revisionPtr revIDLastSave="0" documentId="13_ncr:1_{622219A5-2544-4658-99E9-1DB3C0A72FF6}" xr6:coauthVersionLast="47" xr6:coauthVersionMax="47" xr10:uidLastSave="{00000000-0000-0000-0000-000000000000}"/>
  <bookViews>
    <workbookView xWindow="-120" yWindow="-120" windowWidth="29040" windowHeight="15720" firstSheet="32" activeTab="33" xr2:uid="{00000000-000D-0000-FFFF-FFFF00000000}"/>
  </bookViews>
  <sheets>
    <sheet name="Аграрен Университет Пловдив" sheetId="1" r:id="rId1"/>
    <sheet name="Адига ЕООД" sheetId="2" r:id="rId2"/>
    <sheet name="Анива" sheetId="3" r:id="rId3"/>
    <sheet name="БКС Долни Чифлик" sheetId="4" r:id="rId4"/>
    <sheet name="Веселин Стефанов Желязков ЗП" sheetId="5" r:id="rId5"/>
    <sheet name="Делор 20 ЕООД" sheetId="6" r:id="rId6"/>
    <sheet name="Демакс АД Група 1" sheetId="7" r:id="rId7"/>
    <sheet name="Демакс АД Група 2" sheetId="8" r:id="rId8"/>
    <sheet name="Диляна – 02 ЕООД" sheetId="9" r:id="rId9"/>
    <sheet name="Димитров Експрес Карго " sheetId="10" r:id="rId10"/>
    <sheet name="Диянис ЕООД" sheetId="11" r:id="rId11"/>
    <sheet name="Док транс ЕООД" sheetId="12" r:id="rId12"/>
    <sheet name="Евро транс Премиум" sheetId="13" r:id="rId13"/>
    <sheet name="Желязков инженеринг ЕООД" sheetId="14" r:id="rId14"/>
    <sheet name="Живко Неделчев Димитров ЕГН 760" sheetId="15" r:id="rId15"/>
    <sheet name="Земеделска техника ООД" sheetId="16" r:id="rId16"/>
    <sheet name="Иво Иванов ЧЗС" sheetId="17" r:id="rId17"/>
    <sheet name="Ивон Строй 2015 ЕООД" sheetId="18" r:id="rId18"/>
    <sheet name="Киров тур еоод" sheetId="19" r:id="rId19"/>
    <sheet name="Комерс Нови Пазар ЕООД" sheetId="20" r:id="rId20"/>
    <sheet name="Меркурий производство и Пакетаж" sheetId="21" r:id="rId21"/>
    <sheet name="Мултиарт ЕООД" sheetId="22" r:id="rId22"/>
    <sheet name="Община Белослав" sheetId="23" r:id="rId23"/>
    <sheet name="Община Добричка" sheetId="24" r:id="rId24"/>
    <sheet name="Пантекс Агро ЕООД" sheetId="25" r:id="rId25"/>
    <sheet name="Пантекс агро ЕООД1" sheetId="26" r:id="rId26"/>
    <sheet name="Поди ЕООД" sheetId="27" r:id="rId27"/>
    <sheet name="Поларис" sheetId="28" r:id="rId28"/>
    <sheet name="Скала - 13 Стойчо Стойчев ЕТ" sheetId="29" r:id="rId29"/>
    <sheet name="Скимпорт група 1" sheetId="30" r:id="rId30"/>
    <sheet name="Скимпорт група 2" sheetId="31" r:id="rId31"/>
    <sheet name="Спедстрой ООД" sheetId="32" r:id="rId32"/>
    <sheet name="Фрозен фуудс ЕООД" sheetId="33" r:id="rId33"/>
    <sheet name="Фуудс трейд" sheetId="34" r:id="rId34"/>
    <sheet name="Хранинвест - Доставки" sheetId="35" r:id="rId35"/>
    <sheet name="Хранинвест - Търговци" sheetId="36" r:id="rId36"/>
    <sheet name="Хрнинвест - Продажби" sheetId="37" r:id="rId37"/>
    <sheet name="Unknown" sheetId="38" r:id="rId38"/>
  </sheets>
  <calcPr calcId="191029"/>
</workbook>
</file>

<file path=xl/calcChain.xml><?xml version="1.0" encoding="utf-8"?>
<calcChain xmlns="http://schemas.openxmlformats.org/spreadsheetml/2006/main">
  <c r="K79" i="37" l="1"/>
  <c r="I79" i="37"/>
  <c r="I3" i="37"/>
  <c r="I4" i="37"/>
  <c r="I5" i="37"/>
  <c r="I6" i="37"/>
  <c r="I7" i="37"/>
  <c r="I8" i="37"/>
  <c r="I9" i="37"/>
  <c r="I10" i="37"/>
  <c r="I11" i="37"/>
  <c r="I12" i="37"/>
  <c r="I13" i="37"/>
  <c r="I14" i="37"/>
  <c r="I15" i="37"/>
  <c r="I16" i="37"/>
  <c r="I17" i="37"/>
  <c r="I18" i="37"/>
  <c r="I19" i="37"/>
  <c r="I20" i="37"/>
  <c r="I21" i="37"/>
  <c r="I22" i="37"/>
  <c r="I23" i="37"/>
  <c r="I24" i="37"/>
  <c r="I25" i="37"/>
  <c r="I26" i="37"/>
  <c r="I27" i="37"/>
  <c r="I28" i="37"/>
  <c r="I29" i="37"/>
  <c r="I30" i="37"/>
  <c r="I31" i="37"/>
  <c r="I32" i="37"/>
  <c r="I33" i="37"/>
  <c r="I34" i="37"/>
  <c r="I35" i="37"/>
  <c r="I36" i="37"/>
  <c r="I37" i="37"/>
  <c r="I38" i="37"/>
  <c r="I39" i="37"/>
  <c r="I40" i="37"/>
  <c r="I41" i="37"/>
  <c r="I42" i="37"/>
  <c r="I43" i="37"/>
  <c r="I44" i="37"/>
  <c r="I45" i="37"/>
  <c r="I46" i="37"/>
  <c r="I47" i="37"/>
  <c r="I48" i="37"/>
  <c r="I49" i="37"/>
  <c r="I50" i="37"/>
  <c r="I51" i="37"/>
  <c r="I52" i="37"/>
  <c r="I53" i="37"/>
  <c r="I54" i="37"/>
  <c r="I55" i="37"/>
  <c r="I56" i="37"/>
  <c r="I57" i="37"/>
  <c r="I58" i="37"/>
  <c r="I59" i="37"/>
  <c r="I60" i="37"/>
  <c r="I61" i="37"/>
  <c r="I62" i="37"/>
  <c r="I63" i="37"/>
  <c r="I64" i="37"/>
  <c r="I65" i="37"/>
  <c r="I66" i="37"/>
  <c r="I67" i="37"/>
  <c r="I68" i="37"/>
  <c r="I69" i="37"/>
  <c r="I70" i="37"/>
  <c r="I71" i="37"/>
  <c r="I72" i="37"/>
  <c r="I73" i="37"/>
  <c r="I74" i="37"/>
  <c r="I75" i="37"/>
  <c r="I76" i="37"/>
  <c r="I77" i="37"/>
  <c r="I78" i="37"/>
  <c r="I2" i="37"/>
  <c r="K7" i="36"/>
  <c r="I7" i="36"/>
  <c r="I3" i="36"/>
  <c r="I4" i="36"/>
  <c r="I5" i="36"/>
  <c r="I6" i="36"/>
  <c r="I2" i="36"/>
  <c r="K11" i="35"/>
  <c r="I4" i="35"/>
  <c r="I5" i="35"/>
  <c r="I6" i="35"/>
  <c r="I7" i="35"/>
  <c r="I8" i="35"/>
  <c r="I9" i="35"/>
  <c r="I11" i="35" s="1"/>
  <c r="I10" i="35"/>
  <c r="I3" i="35"/>
  <c r="I2" i="35"/>
  <c r="I6" i="11"/>
  <c r="I3" i="11"/>
  <c r="I4" i="11"/>
  <c r="I5" i="11"/>
  <c r="I2" i="11"/>
  <c r="F79" i="37"/>
  <c r="F7" i="36"/>
  <c r="F11" i="35"/>
  <c r="F97" i="34"/>
  <c r="F5" i="33"/>
  <c r="F71" i="32"/>
  <c r="F26" i="31"/>
  <c r="F19" i="30"/>
  <c r="F5" i="29"/>
  <c r="F4" i="28"/>
  <c r="F32" i="27"/>
  <c r="F6" i="26"/>
  <c r="F8" i="25"/>
  <c r="F18" i="24"/>
  <c r="F6" i="23"/>
  <c r="F13" i="22"/>
  <c r="F104" i="21"/>
  <c r="F4" i="20"/>
  <c r="F6" i="19"/>
  <c r="F6" i="18"/>
  <c r="F6" i="17"/>
  <c r="F9" i="16"/>
  <c r="F16" i="15"/>
  <c r="F25" i="14"/>
  <c r="F10" i="12"/>
  <c r="F6" i="11"/>
  <c r="F23" i="10"/>
  <c r="F17" i="9"/>
  <c r="F12" i="8"/>
  <c r="F17" i="7"/>
  <c r="F9" i="6"/>
  <c r="F7" i="5"/>
  <c r="F13" i="4"/>
  <c r="F4" i="3"/>
  <c r="F7" i="2"/>
  <c r="F14" i="1"/>
</calcChain>
</file>

<file path=xl/sharedStrings.xml><?xml version="1.0" encoding="utf-8"?>
<sst xmlns="http://schemas.openxmlformats.org/spreadsheetml/2006/main" count="5552" uniqueCount="1048">
  <si>
    <t>Дата</t>
  </si>
  <si>
    <t>Станция</t>
  </si>
  <si>
    <t>Име</t>
  </si>
  <si>
    <t>Номер на карта</t>
  </si>
  <si>
    <t>Име на артикул</t>
  </si>
  <si>
    <t>Литри</t>
  </si>
  <si>
    <t>Тип количество</t>
  </si>
  <si>
    <t>GTA цена</t>
  </si>
  <si>
    <t>Сума по GTA цена</t>
  </si>
  <si>
    <t>ЕКО цена</t>
  </si>
  <si>
    <t>Сума по ЕКО цена</t>
  </si>
  <si>
    <t>Час</t>
  </si>
  <si>
    <t>2026-02-04</t>
  </si>
  <si>
    <t>1907 О5 Пловдив</t>
  </si>
  <si>
    <t>АУ6</t>
  </si>
  <si>
    <t>78970151027720146</t>
  </si>
  <si>
    <t>DIESEL EKONOMY</t>
  </si>
  <si>
    <t>L15</t>
  </si>
  <si>
    <t>15:47:00</t>
  </si>
  <si>
    <t>2026-02-05</t>
  </si>
  <si>
    <t>1130 Пловдив Кукленско шосе</t>
  </si>
  <si>
    <t>АУ9</t>
  </si>
  <si>
    <t>78970151027720179</t>
  </si>
  <si>
    <t>11:24:00</t>
  </si>
  <si>
    <t>2026-02-11</t>
  </si>
  <si>
    <t>АУ10</t>
  </si>
  <si>
    <t>78970151027720187</t>
  </si>
  <si>
    <t>15:11:00</t>
  </si>
  <si>
    <t>2026-02-12</t>
  </si>
  <si>
    <t>АУ4</t>
  </si>
  <si>
    <t>78970151027720120</t>
  </si>
  <si>
    <t>15:54:00</t>
  </si>
  <si>
    <t>2026-02-13</t>
  </si>
  <si>
    <t>АУ2</t>
  </si>
  <si>
    <t>78970151027720104</t>
  </si>
  <si>
    <t>09:23:00</t>
  </si>
  <si>
    <t>2026-02-18</t>
  </si>
  <si>
    <t>10:20:00</t>
  </si>
  <si>
    <t>2026-02-20</t>
  </si>
  <si>
    <t>1119 Асеновград</t>
  </si>
  <si>
    <t>12:29:00</t>
  </si>
  <si>
    <t>2026-02-24</t>
  </si>
  <si>
    <t>16:30:00</t>
  </si>
  <si>
    <t>2026-02-25</t>
  </si>
  <si>
    <t>10:59:00</t>
  </si>
  <si>
    <t>2026-02-27</t>
  </si>
  <si>
    <t>АУ3</t>
  </si>
  <si>
    <t>78970151027720112</t>
  </si>
  <si>
    <t>09:32:00</t>
  </si>
  <si>
    <t>10:51:00</t>
  </si>
  <si>
    <t>12:27:00</t>
  </si>
  <si>
    <t>2026-02-03</t>
  </si>
  <si>
    <t>1199 Varna Car Osvoboditel</t>
  </si>
  <si>
    <t>ДЛ3</t>
  </si>
  <si>
    <t>78970151027720534</t>
  </si>
  <si>
    <t>08:56:00</t>
  </si>
  <si>
    <t>13:44:00</t>
  </si>
  <si>
    <t>2026-02-09</t>
  </si>
  <si>
    <t>13:06:00</t>
  </si>
  <si>
    <t>14:13:00</t>
  </si>
  <si>
    <t>07:24:00</t>
  </si>
  <si>
    <t>2026-02-06</t>
  </si>
  <si>
    <t>1165 София К. Величков</t>
  </si>
  <si>
    <t>CB5768MA</t>
  </si>
  <si>
    <t>78970154027720223</t>
  </si>
  <si>
    <t>95 EKONOMY UNLEADED</t>
  </si>
  <si>
    <t>15:52:00</t>
  </si>
  <si>
    <t>14:54:00</t>
  </si>
  <si>
    <t>1146 Варна Сливница</t>
  </si>
  <si>
    <t>В5575XK</t>
  </si>
  <si>
    <t>78970156027720491</t>
  </si>
  <si>
    <t>13:41:00</t>
  </si>
  <si>
    <t>1147 Варна Ситроен</t>
  </si>
  <si>
    <t>ТУБАБ1</t>
  </si>
  <si>
    <t>78970153027721033</t>
  </si>
  <si>
    <t>16:15:00</t>
  </si>
  <si>
    <t>2026-02-10</t>
  </si>
  <si>
    <t>10:55:00</t>
  </si>
  <si>
    <t>11:27:00</t>
  </si>
  <si>
    <t>1911 O5 Варна</t>
  </si>
  <si>
    <t>16:28:00</t>
  </si>
  <si>
    <t>2026-02-15</t>
  </si>
  <si>
    <t>В6478ТМ</t>
  </si>
  <si>
    <t>78970153027721041</t>
  </si>
  <si>
    <t>09:49:00</t>
  </si>
  <si>
    <t>2026-02-16</t>
  </si>
  <si>
    <t>11:42:00</t>
  </si>
  <si>
    <t>1195 243 Тракия Езеро</t>
  </si>
  <si>
    <t>13:45:00</t>
  </si>
  <si>
    <t>21:19:00</t>
  </si>
  <si>
    <t>14:08:00</t>
  </si>
  <si>
    <t>2026-02-26</t>
  </si>
  <si>
    <t>11:43:00</t>
  </si>
  <si>
    <t>B1628TM</t>
  </si>
  <si>
    <t>78970151027720062</t>
  </si>
  <si>
    <t>10:05:00</t>
  </si>
  <si>
    <t>B1648HH</t>
  </si>
  <si>
    <t>78970151027720070</t>
  </si>
  <si>
    <t>10:02:00</t>
  </si>
  <si>
    <t>1148 Варна пристанище</t>
  </si>
  <si>
    <t>12:37:00</t>
  </si>
  <si>
    <t>2026-02-23</t>
  </si>
  <si>
    <t>12:55:00</t>
  </si>
  <si>
    <t>B3211HA</t>
  </si>
  <si>
    <t>78970151027720088</t>
  </si>
  <si>
    <t>12:38:00</t>
  </si>
  <si>
    <t>2026-02-07</t>
  </si>
  <si>
    <t>ДЛ1</t>
  </si>
  <si>
    <t>78970151027720518</t>
  </si>
  <si>
    <t>06:18:00</t>
  </si>
  <si>
    <t>11:23:00</t>
  </si>
  <si>
    <t>16:07:00</t>
  </si>
  <si>
    <t>08:08:00</t>
  </si>
  <si>
    <t>ДЛ2</t>
  </si>
  <si>
    <t>78970151027720526</t>
  </si>
  <si>
    <t>08:26:00</t>
  </si>
  <si>
    <t>2026-02-28</t>
  </si>
  <si>
    <t>21:36:00</t>
  </si>
  <si>
    <t>2026-02-17</t>
  </si>
  <si>
    <t>1185 София Дружба 1</t>
  </si>
  <si>
    <t>СВ1088ЕО</t>
  </si>
  <si>
    <t>78970156027720632</t>
  </si>
  <si>
    <t>12:12:00</t>
  </si>
  <si>
    <t>1101 София Ихтиман</t>
  </si>
  <si>
    <t>СВ0422ХМ</t>
  </si>
  <si>
    <t>78970156027720624</t>
  </si>
  <si>
    <t>09:39:00</t>
  </si>
  <si>
    <t>2026-02-19</t>
  </si>
  <si>
    <t>1145 София Вапцаров</t>
  </si>
  <si>
    <t>СВ4779СТ</t>
  </si>
  <si>
    <t>78970156027720558</t>
  </si>
  <si>
    <t>11:32:00</t>
  </si>
  <si>
    <t>1161 София Шипченски проход</t>
  </si>
  <si>
    <t>СВ1283СТ</t>
  </si>
  <si>
    <t>78970156027720533</t>
  </si>
  <si>
    <t>12:21:00</t>
  </si>
  <si>
    <t>1134 Монтана</t>
  </si>
  <si>
    <t>СВ0901ОА</t>
  </si>
  <si>
    <t>78970156027720640</t>
  </si>
  <si>
    <t>10:31:00</t>
  </si>
  <si>
    <t>1184 София Дружба2</t>
  </si>
  <si>
    <t>СВ3481ХА</t>
  </si>
  <si>
    <t>78970156027720582</t>
  </si>
  <si>
    <t>14:18:00</t>
  </si>
  <si>
    <t>1925 HW Trakia, 243 km. Sofia direc</t>
  </si>
  <si>
    <t>09:19:00</t>
  </si>
  <si>
    <t>1901 София, Младост 4-ти км</t>
  </si>
  <si>
    <t>10:54:00</t>
  </si>
  <si>
    <t>1102 Стара Загора вход</t>
  </si>
  <si>
    <t>09:56:00</t>
  </si>
  <si>
    <t>1172 Русе Шелф</t>
  </si>
  <si>
    <t>10L ADPLUS DIESEL ADDITIVE</t>
  </si>
  <si>
    <t>PC</t>
  </si>
  <si>
    <t>СВ7594АЕ</t>
  </si>
  <si>
    <t>78970156027720657</t>
  </si>
  <si>
    <t>11:47:00</t>
  </si>
  <si>
    <t>11:20:00</t>
  </si>
  <si>
    <t>СВ2114НН</t>
  </si>
  <si>
    <t>78970156027720541</t>
  </si>
  <si>
    <t>13:03:00</t>
  </si>
  <si>
    <t>1152 Бургас езеро</t>
  </si>
  <si>
    <t>СВ8839НН</t>
  </si>
  <si>
    <t>78970156027720574</t>
  </si>
  <si>
    <t>11:48:00</t>
  </si>
  <si>
    <t>1173 Ямбол</t>
  </si>
  <si>
    <t>СВ9610НА</t>
  </si>
  <si>
    <t>78970156027720814</t>
  </si>
  <si>
    <t>12:57:00</t>
  </si>
  <si>
    <t>СА5061ХС</t>
  </si>
  <si>
    <t>78970156027720723</t>
  </si>
  <si>
    <t>DIESEL DOUBLE FILTERED</t>
  </si>
  <si>
    <t>11:04:00</t>
  </si>
  <si>
    <t>СВ2104ТЕ</t>
  </si>
  <si>
    <t>78970156027720699</t>
  </si>
  <si>
    <t>EKO RACING 100</t>
  </si>
  <si>
    <t>19:42:00</t>
  </si>
  <si>
    <t>1131 София Бояна</t>
  </si>
  <si>
    <t>СВ4297ТА</t>
  </si>
  <si>
    <t>78970156027720772</t>
  </si>
  <si>
    <t>16:29:00</t>
  </si>
  <si>
    <t>2026-02-21</t>
  </si>
  <si>
    <t>1190 Враца</t>
  </si>
  <si>
    <t>СВ0481НН</t>
  </si>
  <si>
    <t>78970156027720798</t>
  </si>
  <si>
    <t>12:15:00</t>
  </si>
  <si>
    <t>2L WINTER SCREEN WASH LIQUID</t>
  </si>
  <si>
    <t>2026-02-22</t>
  </si>
  <si>
    <t>СВ0660ТР</t>
  </si>
  <si>
    <t>78970156027720665</t>
  </si>
  <si>
    <t>12:53:00</t>
  </si>
  <si>
    <t>1132 Хасково Левски</t>
  </si>
  <si>
    <t>СВ4298ТА</t>
  </si>
  <si>
    <t>78970156027720780</t>
  </si>
  <si>
    <t>20:40:00</t>
  </si>
  <si>
    <t>11:55:00</t>
  </si>
  <si>
    <t>2026-02-02</t>
  </si>
  <si>
    <t>В3155НС</t>
  </si>
  <si>
    <t>78970154027720108</t>
  </si>
  <si>
    <t>15:31:00</t>
  </si>
  <si>
    <t>В8191ВХ</t>
  </si>
  <si>
    <t>78970154027720090</t>
  </si>
  <si>
    <t>07:22:00</t>
  </si>
  <si>
    <t>11:17:00</t>
  </si>
  <si>
    <t>08:49:00</t>
  </si>
  <si>
    <t>20:39:00</t>
  </si>
  <si>
    <t>16:51:00</t>
  </si>
  <si>
    <t>13:57:00</t>
  </si>
  <si>
    <t>13:04:00</t>
  </si>
  <si>
    <t>06:44:00</t>
  </si>
  <si>
    <t>11:49:00</t>
  </si>
  <si>
    <t>14:12:00</t>
  </si>
  <si>
    <t>06:55:00</t>
  </si>
  <si>
    <t>06:52:00</t>
  </si>
  <si>
    <t>20:09:00</t>
  </si>
  <si>
    <t>17:01:00</t>
  </si>
  <si>
    <t>B0128XB</t>
  </si>
  <si>
    <t>78970153027720811</t>
  </si>
  <si>
    <t>09:26:00</t>
  </si>
  <si>
    <t>09:27:00</t>
  </si>
  <si>
    <t>В8362ХЕ</t>
  </si>
  <si>
    <t>78970153027720985</t>
  </si>
  <si>
    <t>08:48:00</t>
  </si>
  <si>
    <t>4 L. WINTER SCREENWASH - READY FOR USAGE</t>
  </si>
  <si>
    <t>B0264TE</t>
  </si>
  <si>
    <t>78970153027720829</t>
  </si>
  <si>
    <t>14:09:00</t>
  </si>
  <si>
    <t>5Л. ДОБАВКА ADBLUE ДИЗЕЛОВИ ДВИГАТЕЛИ</t>
  </si>
  <si>
    <t>1156 Добрич бул. Добруджа</t>
  </si>
  <si>
    <t>07:10:00</t>
  </si>
  <si>
    <t>09:24:00</t>
  </si>
  <si>
    <t>B5579XA</t>
  </si>
  <si>
    <t>78970153027720803</t>
  </si>
  <si>
    <t>08:50:00</t>
  </si>
  <si>
    <t>07:14:00</t>
  </si>
  <si>
    <t>08:51:00</t>
  </si>
  <si>
    <t>07:08:00</t>
  </si>
  <si>
    <t>B8719BH</t>
  </si>
  <si>
    <t>78970153027720837</t>
  </si>
  <si>
    <t>08:45:00</t>
  </si>
  <si>
    <t>11:57:00</t>
  </si>
  <si>
    <t>1 Л. АНТИФРИЗ ГОТОВ ЗА УПОТРЕБА (-37°C)</t>
  </si>
  <si>
    <t>2026-02-14</t>
  </si>
  <si>
    <t>2</t>
  </si>
  <si>
    <t>78970152027720052</t>
  </si>
  <si>
    <t>16:43:00</t>
  </si>
  <si>
    <t>15:08:00</t>
  </si>
  <si>
    <t>1912 O5, Шумен 1</t>
  </si>
  <si>
    <t>15:41:00</t>
  </si>
  <si>
    <t>1</t>
  </si>
  <si>
    <t>78970152027720045</t>
  </si>
  <si>
    <t>14:55:00</t>
  </si>
  <si>
    <t>В0191ВВ</t>
  </si>
  <si>
    <t>78970152027720094</t>
  </si>
  <si>
    <t>В6202ВС</t>
  </si>
  <si>
    <t>78970152027720086</t>
  </si>
  <si>
    <t>20:43:00</t>
  </si>
  <si>
    <t>13:55:00</t>
  </si>
  <si>
    <t>09:48:00</t>
  </si>
  <si>
    <t>19:37:00</t>
  </si>
  <si>
    <t>19:04:00</t>
  </si>
  <si>
    <t>1918 O5 Търговище</t>
  </si>
  <si>
    <t>В8446ТА</t>
  </si>
  <si>
    <t>78970153027720902</t>
  </si>
  <si>
    <t>16:04:00</t>
  </si>
  <si>
    <t>2026-02-01</t>
  </si>
  <si>
    <t>В3931НА</t>
  </si>
  <si>
    <t>78970151027720021</t>
  </si>
  <si>
    <t>05:51:00</t>
  </si>
  <si>
    <t>1194 Дунавци</t>
  </si>
  <si>
    <t>В3164НА</t>
  </si>
  <si>
    <t>78970151027720039</t>
  </si>
  <si>
    <t>07:33:00</t>
  </si>
  <si>
    <t>В0922ТК</t>
  </si>
  <si>
    <t>78970151027720054</t>
  </si>
  <si>
    <t>16:50:00</t>
  </si>
  <si>
    <t>В0470НР</t>
  </si>
  <si>
    <t>78970151027720047</t>
  </si>
  <si>
    <t>10:34:00</t>
  </si>
  <si>
    <t>18:20:00</t>
  </si>
  <si>
    <t>12:44:00</t>
  </si>
  <si>
    <t>13:47:00</t>
  </si>
  <si>
    <t>07:28:00</t>
  </si>
  <si>
    <t>16:40:00</t>
  </si>
  <si>
    <t>13:39:00</t>
  </si>
  <si>
    <t>17:09:00</t>
  </si>
  <si>
    <t>14:00:00</t>
  </si>
  <si>
    <t>17:14:00</t>
  </si>
  <si>
    <t>10:50:00</t>
  </si>
  <si>
    <t>17:12:00</t>
  </si>
  <si>
    <t>08:41:00</t>
  </si>
  <si>
    <t>07:21:00</t>
  </si>
  <si>
    <t>16:41:00</t>
  </si>
  <si>
    <t>14:38:00</t>
  </si>
  <si>
    <t>СB6072HO</t>
  </si>
  <si>
    <t>78970153027720852</t>
  </si>
  <si>
    <t>12:43:00</t>
  </si>
  <si>
    <t>В2968XB</t>
  </si>
  <si>
    <t>78970153027720845</t>
  </si>
  <si>
    <t>19:02:00</t>
  </si>
  <si>
    <t>1924 Stara Zagora, Khan Asparuh</t>
  </si>
  <si>
    <t>B0847TK</t>
  </si>
  <si>
    <t>78970153027720878</t>
  </si>
  <si>
    <t>11:39:00</t>
  </si>
  <si>
    <t>11:29:00</t>
  </si>
  <si>
    <t>2026-02-08</t>
  </si>
  <si>
    <t>13:52:00</t>
  </si>
  <si>
    <t>11:50:00</t>
  </si>
  <si>
    <t>12:56:00</t>
  </si>
  <si>
    <t>1122 София Борис III</t>
  </si>
  <si>
    <t>22:14:00</t>
  </si>
  <si>
    <t>19:28:00</t>
  </si>
  <si>
    <t>15:24:00</t>
  </si>
  <si>
    <t>1903 София, О5 Царско село</t>
  </si>
  <si>
    <t>12:10:00</t>
  </si>
  <si>
    <t>1191 Смолян</t>
  </si>
  <si>
    <t>13:29:00</t>
  </si>
  <si>
    <t>11:41:00</t>
  </si>
  <si>
    <t>ЗТ3</t>
  </si>
  <si>
    <t>78970153027720712</t>
  </si>
  <si>
    <t>17:15:00</t>
  </si>
  <si>
    <t>ТХ6051МТ</t>
  </si>
  <si>
    <t>78970153027720688</t>
  </si>
  <si>
    <t>15:25:00</t>
  </si>
  <si>
    <t>09:45:00</t>
  </si>
  <si>
    <t>08:03:00</t>
  </si>
  <si>
    <t>06:54:00</t>
  </si>
  <si>
    <t>10:12:00</t>
  </si>
  <si>
    <t>TX4449TM</t>
  </si>
  <si>
    <t>78970154027720173</t>
  </si>
  <si>
    <t>13:32:00</t>
  </si>
  <si>
    <t>1164 София Д. Богров</t>
  </si>
  <si>
    <t>TX6886XT</t>
  </si>
  <si>
    <t>78970154027720181</t>
  </si>
  <si>
    <t>13:40:00</t>
  </si>
  <si>
    <t>11:44:00</t>
  </si>
  <si>
    <t>16:10:00</t>
  </si>
  <si>
    <t>1163 София Ботевградско шосе</t>
  </si>
  <si>
    <t>ДЛ5</t>
  </si>
  <si>
    <t>78970151027720559</t>
  </si>
  <si>
    <t>20:31:00</t>
  </si>
  <si>
    <t>08:09:00</t>
  </si>
  <si>
    <t>17:19:00</t>
  </si>
  <si>
    <t>КТ1</t>
  </si>
  <si>
    <t>78970153027720639</t>
  </si>
  <si>
    <t>09:04:00</t>
  </si>
  <si>
    <t>17:42:00</t>
  </si>
  <si>
    <t>13:19:00</t>
  </si>
  <si>
    <t>08:21:00</t>
  </si>
  <si>
    <t>1186 Севлиево</t>
  </si>
  <si>
    <t>13</t>
  </si>
  <si>
    <t>78970110027720134</t>
  </si>
  <si>
    <t>19:31:00</t>
  </si>
  <si>
    <t>09:09:00</t>
  </si>
  <si>
    <t>1124 Плевен Христо Ботев</t>
  </si>
  <si>
    <t>BT6273KP</t>
  </si>
  <si>
    <t>78970154027720397</t>
  </si>
  <si>
    <t>06:11:00</t>
  </si>
  <si>
    <t>EB2145AT</t>
  </si>
  <si>
    <t>78970154027720439</t>
  </si>
  <si>
    <t>09:17:00</t>
  </si>
  <si>
    <t>EB5362BB</t>
  </si>
  <si>
    <t>78970154027720454</t>
  </si>
  <si>
    <t>11:07:00</t>
  </si>
  <si>
    <t>1179 Русе, Липник</t>
  </si>
  <si>
    <t>ICE-SCRAPPER BLIZZARD</t>
  </si>
  <si>
    <t>1902 София, О5 Малинова Долина</t>
  </si>
  <si>
    <t>MPP1</t>
  </si>
  <si>
    <t>78970154027720702</t>
  </si>
  <si>
    <t>15:46:00</t>
  </si>
  <si>
    <t>1914 О5, Плевен</t>
  </si>
  <si>
    <t>07:01:00</t>
  </si>
  <si>
    <t>EB2916AT</t>
  </si>
  <si>
    <t>78970154027720652</t>
  </si>
  <si>
    <t>11:59:00</t>
  </si>
  <si>
    <t>1127 Благоевград</t>
  </si>
  <si>
    <t>BT6270KP</t>
  </si>
  <si>
    <t>78970154027720363</t>
  </si>
  <si>
    <t>08:12:00</t>
  </si>
  <si>
    <t>1136 Димитровград Д. Благоев</t>
  </si>
  <si>
    <t>BT7814KT</t>
  </si>
  <si>
    <t>78970154027720611</t>
  </si>
  <si>
    <t>07:54:00</t>
  </si>
  <si>
    <t>АРОМАТИЗАТОР АРЕОН XPERIENCE РАЗЛ ВИДОВЕ</t>
  </si>
  <si>
    <t>09:43:00</t>
  </si>
  <si>
    <t>1908 О5 Стара Загора</t>
  </si>
  <si>
    <t>EB5143BB</t>
  </si>
  <si>
    <t>78970154027720678</t>
  </si>
  <si>
    <t>13:37:00</t>
  </si>
  <si>
    <t>1151 Пловдив, бул. България</t>
  </si>
  <si>
    <t>BT6269KP</t>
  </si>
  <si>
    <t>78970154027720355</t>
  </si>
  <si>
    <t>EB5026BP</t>
  </si>
  <si>
    <t>78970154027720421</t>
  </si>
  <si>
    <t>15:21:00</t>
  </si>
  <si>
    <t>EB4092AX</t>
  </si>
  <si>
    <t>78970154027720553</t>
  </si>
  <si>
    <t>11:12:00</t>
  </si>
  <si>
    <t>EB1250BK</t>
  </si>
  <si>
    <t>78970154027720637</t>
  </si>
  <si>
    <t>08:42:00</t>
  </si>
  <si>
    <t>EB6648AT</t>
  </si>
  <si>
    <t>78970154027720538</t>
  </si>
  <si>
    <t>EB3426BB</t>
  </si>
  <si>
    <t>78970154027720660</t>
  </si>
  <si>
    <t>1158 Варна Чайка</t>
  </si>
  <si>
    <t>BT6272KP</t>
  </si>
  <si>
    <t>78970154027720389</t>
  </si>
  <si>
    <t>1166 Своге</t>
  </si>
  <si>
    <t>EB7210BA</t>
  </si>
  <si>
    <t>78970154027720686</t>
  </si>
  <si>
    <t>14:58:00</t>
  </si>
  <si>
    <t>10:38:00</t>
  </si>
  <si>
    <t>1193 Казанлък</t>
  </si>
  <si>
    <t>10:35:00</t>
  </si>
  <si>
    <t>EB1481BA</t>
  </si>
  <si>
    <t>78970154027720496</t>
  </si>
  <si>
    <t>BLISTER 7506 21W -02B 12V BA 15S BLIX2</t>
  </si>
  <si>
    <t>09:28:00</t>
  </si>
  <si>
    <t>07:20:00</t>
  </si>
  <si>
    <t>1139 София Ломско шосе</t>
  </si>
  <si>
    <t>BT7800KT</t>
  </si>
  <si>
    <t>78970154027720603</t>
  </si>
  <si>
    <t>14:22:00</t>
  </si>
  <si>
    <t>1915 O5 Сливен</t>
  </si>
  <si>
    <t>08:32:00</t>
  </si>
  <si>
    <t>1103 Велико Търново изход</t>
  </si>
  <si>
    <t>EB2407BB</t>
  </si>
  <si>
    <t>78970154027720645</t>
  </si>
  <si>
    <t>10:41:00</t>
  </si>
  <si>
    <t>12:48:00</t>
  </si>
  <si>
    <t>BT7795KT</t>
  </si>
  <si>
    <t>78970154027720579</t>
  </si>
  <si>
    <t>MPP2</t>
  </si>
  <si>
    <t>78970154027720710</t>
  </si>
  <si>
    <t>19:14:00</t>
  </si>
  <si>
    <t>1150 Пловдив, Пещерско шосе</t>
  </si>
  <si>
    <t>BT7796KT</t>
  </si>
  <si>
    <t>78970154027720587</t>
  </si>
  <si>
    <t>12:34:00</t>
  </si>
  <si>
    <t>BT7798KT</t>
  </si>
  <si>
    <t>78970154027720595</t>
  </si>
  <si>
    <t>08:53:00</t>
  </si>
  <si>
    <t>10:28:00</t>
  </si>
  <si>
    <t>13:59:00</t>
  </si>
  <si>
    <t>17:33:00</t>
  </si>
  <si>
    <t>BT6267KP</t>
  </si>
  <si>
    <t>78970154027720348</t>
  </si>
  <si>
    <t>11:02:00</t>
  </si>
  <si>
    <t>12:11:00</t>
  </si>
  <si>
    <t>PHILIPS H7 PREMIUM +30% MORE LIGHT</t>
  </si>
  <si>
    <t>14:46:00</t>
  </si>
  <si>
    <t>09:37:00</t>
  </si>
  <si>
    <t>07:55:00</t>
  </si>
  <si>
    <t>16:47:00</t>
  </si>
  <si>
    <t>10:08:00</t>
  </si>
  <si>
    <t>12:59:00</t>
  </si>
  <si>
    <t>1144 Пловдив Стамболийски</t>
  </si>
  <si>
    <t>08:16:00</t>
  </si>
  <si>
    <t>11:05:00</t>
  </si>
  <si>
    <t>11:45:00</t>
  </si>
  <si>
    <t>06:08:00</t>
  </si>
  <si>
    <t>15:07:00</t>
  </si>
  <si>
    <t>AIR-FRESHENER AREON LUX</t>
  </si>
  <si>
    <t>1137 Велинград</t>
  </si>
  <si>
    <t>08:14:00</t>
  </si>
  <si>
    <t>13:27:00</t>
  </si>
  <si>
    <t>BT6271KP</t>
  </si>
  <si>
    <t>78970154027720371</t>
  </si>
  <si>
    <t>11:33:00</t>
  </si>
  <si>
    <t>08:13:00</t>
  </si>
  <si>
    <t>10:17:00</t>
  </si>
  <si>
    <t>13:16:00</t>
  </si>
  <si>
    <t>15:03:00</t>
  </si>
  <si>
    <t>ADBLUE 1L</t>
  </si>
  <si>
    <t>12:31:00</t>
  </si>
  <si>
    <t>13:33:00</t>
  </si>
  <si>
    <t>11:19:00</t>
  </si>
  <si>
    <t>10:03:00</t>
  </si>
  <si>
    <t>10:01:00</t>
  </si>
  <si>
    <t>07:39:00</t>
  </si>
  <si>
    <t>1126 Перник</t>
  </si>
  <si>
    <t>12:33:00</t>
  </si>
  <si>
    <t>10 Л. ДОБАВКА ADBLUE ДИЗЕЛОВИ ДВИГАТЕЛИ</t>
  </si>
  <si>
    <t>14:19:00</t>
  </si>
  <si>
    <t>08:58:00</t>
  </si>
  <si>
    <t>08:05:00</t>
  </si>
  <si>
    <t>09:59:00</t>
  </si>
  <si>
    <t>14:47:00</t>
  </si>
  <si>
    <t>16:37:00</t>
  </si>
  <si>
    <t>14:57:00</t>
  </si>
  <si>
    <t>15:33:00</t>
  </si>
  <si>
    <t>12:20:00</t>
  </si>
  <si>
    <t>09:07:00</t>
  </si>
  <si>
    <t>СА7846ХР</t>
  </si>
  <si>
    <t>78970154027720041</t>
  </si>
  <si>
    <t>СВ8488ХА</t>
  </si>
  <si>
    <t>78970154027720082</t>
  </si>
  <si>
    <t>14:53:00</t>
  </si>
  <si>
    <t>1160 София бул. България</t>
  </si>
  <si>
    <t>09:13:00</t>
  </si>
  <si>
    <t>1142 Пазарджик Север</t>
  </si>
  <si>
    <t>СВ4351КТ</t>
  </si>
  <si>
    <t>78970154027720058</t>
  </si>
  <si>
    <t>СА3341ХТ</t>
  </si>
  <si>
    <t>78970154027720033</t>
  </si>
  <si>
    <t>16:35:00</t>
  </si>
  <si>
    <t>08:11:00</t>
  </si>
  <si>
    <t>11:11:00</t>
  </si>
  <si>
    <t>1153 Банско</t>
  </si>
  <si>
    <t>16:18:00</t>
  </si>
  <si>
    <t>A7353HC</t>
  </si>
  <si>
    <t>78970151027720385</t>
  </si>
  <si>
    <t>14:39:00</t>
  </si>
  <si>
    <t>А4699РМ</t>
  </si>
  <si>
    <t>78970151027720476</t>
  </si>
  <si>
    <t>17:52:00</t>
  </si>
  <si>
    <t>15:09:00</t>
  </si>
  <si>
    <t>ТХ3541МТ</t>
  </si>
  <si>
    <t>78970151027720922</t>
  </si>
  <si>
    <t>13:53:00</t>
  </si>
  <si>
    <t>ТХ8900АТ</t>
  </si>
  <si>
    <t>78970151027720880</t>
  </si>
  <si>
    <t>11:26:00</t>
  </si>
  <si>
    <t>ТХ4221ХР</t>
  </si>
  <si>
    <t>78970151027721029</t>
  </si>
  <si>
    <t>09:52:00</t>
  </si>
  <si>
    <t>ТХ4227ХР</t>
  </si>
  <si>
    <t>78970151027720757</t>
  </si>
  <si>
    <t>14:52:00</t>
  </si>
  <si>
    <t>ТХ8896АТ</t>
  </si>
  <si>
    <t>78970151027721037</t>
  </si>
  <si>
    <t>ТХ0222АТ</t>
  </si>
  <si>
    <t>78970151027720831</t>
  </si>
  <si>
    <t>12:32:00</t>
  </si>
  <si>
    <t>ТХ0224АТ</t>
  </si>
  <si>
    <t>78970151027720856</t>
  </si>
  <si>
    <t>ТХ3400РХ</t>
  </si>
  <si>
    <t>78970151027720690</t>
  </si>
  <si>
    <t>11:30:00</t>
  </si>
  <si>
    <t>ТХ8897АТ</t>
  </si>
  <si>
    <t>78970151027720898</t>
  </si>
  <si>
    <t>12:54:00</t>
  </si>
  <si>
    <t>ТХ9465МТ</t>
  </si>
  <si>
    <t>78970151027720971</t>
  </si>
  <si>
    <t>ТХ4223ХР</t>
  </si>
  <si>
    <t>78970151027720740</t>
  </si>
  <si>
    <t>14:20:00</t>
  </si>
  <si>
    <t>ТХ4444КХ</t>
  </si>
  <si>
    <t>78970151027720674</t>
  </si>
  <si>
    <t>ТХ1578ТМ</t>
  </si>
  <si>
    <t>78970151027720989</t>
  </si>
  <si>
    <t>13:51:00</t>
  </si>
  <si>
    <t>ТХ1759АК</t>
  </si>
  <si>
    <t>78970151027720732</t>
  </si>
  <si>
    <t>ТХ1932РХ</t>
  </si>
  <si>
    <t>78970151027720716</t>
  </si>
  <si>
    <t>ТХ7827ТМ</t>
  </si>
  <si>
    <t>78970151027721003</t>
  </si>
  <si>
    <t>17:18:00</t>
  </si>
  <si>
    <t>11</t>
  </si>
  <si>
    <t>78970154027720249</t>
  </si>
  <si>
    <t>12:02:00</t>
  </si>
  <si>
    <t>17:47:00</t>
  </si>
  <si>
    <t>12:36:00</t>
  </si>
  <si>
    <t>13:14:00</t>
  </si>
  <si>
    <t>20:58:00</t>
  </si>
  <si>
    <t>13:13:00</t>
  </si>
  <si>
    <t>10</t>
  </si>
  <si>
    <t>78970154027720231</t>
  </si>
  <si>
    <t>15:18:00</t>
  </si>
  <si>
    <t>Туба2</t>
  </si>
  <si>
    <t>78970153027720753</t>
  </si>
  <si>
    <t>3</t>
  </si>
  <si>
    <t>78970153027720217</t>
  </si>
  <si>
    <t>17:38:00</t>
  </si>
  <si>
    <t>09:25:00</t>
  </si>
  <si>
    <t>10:25:00</t>
  </si>
  <si>
    <t>78970153027720043</t>
  </si>
  <si>
    <t>12:05:00</t>
  </si>
  <si>
    <t>В08283</t>
  </si>
  <si>
    <t>78970153027720019</t>
  </si>
  <si>
    <t>В3771ТР</t>
  </si>
  <si>
    <t>78970153027720076</t>
  </si>
  <si>
    <t>09:29:00</t>
  </si>
  <si>
    <t>B9415TC</t>
  </si>
  <si>
    <t>78970153027720142</t>
  </si>
  <si>
    <t>08:35:00</t>
  </si>
  <si>
    <t>13:08:00</t>
  </si>
  <si>
    <t>B12563</t>
  </si>
  <si>
    <t>78970153027720191</t>
  </si>
  <si>
    <t>05:56:00</t>
  </si>
  <si>
    <t>С6524НС</t>
  </si>
  <si>
    <t>78970153027720118</t>
  </si>
  <si>
    <t>07:51:00</t>
  </si>
  <si>
    <t>Туба1</t>
  </si>
  <si>
    <t>78970153027720746</t>
  </si>
  <si>
    <t>07:26:00</t>
  </si>
  <si>
    <t>В8661НР</t>
  </si>
  <si>
    <t>78970153027720100</t>
  </si>
  <si>
    <t>05:44:00</t>
  </si>
  <si>
    <t>07:36:00</t>
  </si>
  <si>
    <t>12:07:00</t>
  </si>
  <si>
    <t>10:39:00</t>
  </si>
  <si>
    <t>05:23:00</t>
  </si>
  <si>
    <t>05:26:00</t>
  </si>
  <si>
    <t>14:33:00</t>
  </si>
  <si>
    <t>17:49:00</t>
  </si>
  <si>
    <t>13:17:00</t>
  </si>
  <si>
    <t>07:03:00</t>
  </si>
  <si>
    <t>P1</t>
  </si>
  <si>
    <t>78970154027720207</t>
  </si>
  <si>
    <t>1S</t>
  </si>
  <si>
    <t>78970153027720720</t>
  </si>
  <si>
    <t>10:32:00</t>
  </si>
  <si>
    <t>11:54:00</t>
  </si>
  <si>
    <t>1141 Благоевград Център</t>
  </si>
  <si>
    <t>СВ1514СТ</t>
  </si>
  <si>
    <t>78970153027721124</t>
  </si>
  <si>
    <t>13:01:00</t>
  </si>
  <si>
    <t>СВ5349ММ</t>
  </si>
  <si>
    <t>78970153027721140</t>
  </si>
  <si>
    <t>14:10:00</t>
  </si>
  <si>
    <t>СВ8220ХР</t>
  </si>
  <si>
    <t>78970153027721116</t>
  </si>
  <si>
    <t>21:01:00</t>
  </si>
  <si>
    <t>1157 Пловдив Тракия</t>
  </si>
  <si>
    <t>14:48:00</t>
  </si>
  <si>
    <t>СВ6794ХС</t>
  </si>
  <si>
    <t>78970153027721165</t>
  </si>
  <si>
    <t>19:24:00</t>
  </si>
  <si>
    <t>СВ8630СК</t>
  </si>
  <si>
    <t>78970153027721132</t>
  </si>
  <si>
    <t>18:51:00</t>
  </si>
  <si>
    <t>13:35:00</t>
  </si>
  <si>
    <t>РА7887КМ</t>
  </si>
  <si>
    <t>78970153027721173</t>
  </si>
  <si>
    <t>Е GAS LPG</t>
  </si>
  <si>
    <t>14:17:00</t>
  </si>
  <si>
    <t>СВ3774ТТ</t>
  </si>
  <si>
    <t>78970153027721157</t>
  </si>
  <si>
    <t>13:24:00</t>
  </si>
  <si>
    <t>07:37:00</t>
  </si>
  <si>
    <t>СВ3434АВ</t>
  </si>
  <si>
    <t>78970153027721181</t>
  </si>
  <si>
    <t>11:36:00</t>
  </si>
  <si>
    <t>18:18:00</t>
  </si>
  <si>
    <t>10:45:00</t>
  </si>
  <si>
    <t>СВ9234ВН</t>
  </si>
  <si>
    <t>78970153027721215</t>
  </si>
  <si>
    <t>09:10:00</t>
  </si>
  <si>
    <t>СВ6217СТ</t>
  </si>
  <si>
    <t>78970153027721058</t>
  </si>
  <si>
    <t>11:15:00</t>
  </si>
  <si>
    <t>11:16:00</t>
  </si>
  <si>
    <t>СВ5413КХ</t>
  </si>
  <si>
    <t>78970153027721199</t>
  </si>
  <si>
    <t>09:12:00</t>
  </si>
  <si>
    <t>СВ7370ХА</t>
  </si>
  <si>
    <t>78970153027721074</t>
  </si>
  <si>
    <t>СВ5416КХ</t>
  </si>
  <si>
    <t>78970153027721207</t>
  </si>
  <si>
    <t>07:47:00</t>
  </si>
  <si>
    <t>10:36:00</t>
  </si>
  <si>
    <t>10:48:00</t>
  </si>
  <si>
    <t>17:54:00</t>
  </si>
  <si>
    <t>07:06:00</t>
  </si>
  <si>
    <t>09:14:00</t>
  </si>
  <si>
    <t>10:52:00</t>
  </si>
  <si>
    <t>13:28:00</t>
  </si>
  <si>
    <t>09:50:00</t>
  </si>
  <si>
    <t>1192 София, Младост Ал. Малинов</t>
  </si>
  <si>
    <t>09:58:00</t>
  </si>
  <si>
    <t>09:55:00</t>
  </si>
  <si>
    <t>1117 София Черни Връх</t>
  </si>
  <si>
    <t>20СС</t>
  </si>
  <si>
    <t>78970153027720605</t>
  </si>
  <si>
    <t>12:42:00</t>
  </si>
  <si>
    <t>В0357НТ</t>
  </si>
  <si>
    <t>78970153027720522</t>
  </si>
  <si>
    <t>19:56:00</t>
  </si>
  <si>
    <t>1167 В. Търново вход</t>
  </si>
  <si>
    <t>1197 Разград</t>
  </si>
  <si>
    <t>В3184ТХ</t>
  </si>
  <si>
    <t>78970153027720407</t>
  </si>
  <si>
    <t>В2370ТК</t>
  </si>
  <si>
    <t>78970153027720548</t>
  </si>
  <si>
    <t>13:11:00</t>
  </si>
  <si>
    <t>В2806РА</t>
  </si>
  <si>
    <t>78970153027720423</t>
  </si>
  <si>
    <t>11:22:00</t>
  </si>
  <si>
    <t>В3106НР</t>
  </si>
  <si>
    <t>78970153027720373</t>
  </si>
  <si>
    <t>11:09:00</t>
  </si>
  <si>
    <t>В3104НР</t>
  </si>
  <si>
    <t>78970153027720365</t>
  </si>
  <si>
    <t>06:26:00</t>
  </si>
  <si>
    <t>1913 О5 Шумен 2</t>
  </si>
  <si>
    <t>В8661КК</t>
  </si>
  <si>
    <t>78970153027720464</t>
  </si>
  <si>
    <t>21СС</t>
  </si>
  <si>
    <t>78970153027720613</t>
  </si>
  <si>
    <t>14:36:00</t>
  </si>
  <si>
    <t>19СС</t>
  </si>
  <si>
    <t>78970153027720597</t>
  </si>
  <si>
    <t>09:44:00</t>
  </si>
  <si>
    <t>18:04:00</t>
  </si>
  <si>
    <t>07:19:00</t>
  </si>
  <si>
    <t>В4428ТХ</t>
  </si>
  <si>
    <t>78970153027720530</t>
  </si>
  <si>
    <t>14:34:00</t>
  </si>
  <si>
    <t>22СС</t>
  </si>
  <si>
    <t>78970153027720555</t>
  </si>
  <si>
    <t>08:39:00</t>
  </si>
  <si>
    <t>08:36:00</t>
  </si>
  <si>
    <t>В9037ВВ</t>
  </si>
  <si>
    <t>78970153027720506</t>
  </si>
  <si>
    <t>В7760ВА</t>
  </si>
  <si>
    <t>78970153027720324</t>
  </si>
  <si>
    <t>14:45:00</t>
  </si>
  <si>
    <t>18:21:00</t>
  </si>
  <si>
    <t>10:42:00</t>
  </si>
  <si>
    <t>08:40:00</t>
  </si>
  <si>
    <t>12:28:00</t>
  </si>
  <si>
    <t>В0859ВМ</t>
  </si>
  <si>
    <t>78970153027720357</t>
  </si>
  <si>
    <t>16:31:00</t>
  </si>
  <si>
    <t>В1019ХВ</t>
  </si>
  <si>
    <t>78970153027720290</t>
  </si>
  <si>
    <t>08:23:00</t>
  </si>
  <si>
    <t>08:34:00</t>
  </si>
  <si>
    <t>15:23:00</t>
  </si>
  <si>
    <t>15:38:00</t>
  </si>
  <si>
    <t>09:31:00</t>
  </si>
  <si>
    <t>В3973НТ</t>
  </si>
  <si>
    <t>78970153027720381</t>
  </si>
  <si>
    <t>В4303РА</t>
  </si>
  <si>
    <t>78970153027720449</t>
  </si>
  <si>
    <t>В0452ВК</t>
  </si>
  <si>
    <t>78970153027720498</t>
  </si>
  <si>
    <t>14:14:00</t>
  </si>
  <si>
    <t>08:59:00</t>
  </si>
  <si>
    <t>09:06:00</t>
  </si>
  <si>
    <t>10:10:00</t>
  </si>
  <si>
    <t>В0129НА</t>
  </si>
  <si>
    <t>78970153027720316</t>
  </si>
  <si>
    <t>10:13:00</t>
  </si>
  <si>
    <t>В6172ВС</t>
  </si>
  <si>
    <t>78970153027720332</t>
  </si>
  <si>
    <t>15:20:00</t>
  </si>
  <si>
    <t>13:43:00</t>
  </si>
  <si>
    <t>16:39:00</t>
  </si>
  <si>
    <t>10:21:00</t>
  </si>
  <si>
    <t>11:37:00</t>
  </si>
  <si>
    <t>15:36:00</t>
  </si>
  <si>
    <t>1906 София, О5 Орион</t>
  </si>
  <si>
    <t>02:16:00</t>
  </si>
  <si>
    <t>15:34:00</t>
  </si>
  <si>
    <t>08:37:00</t>
  </si>
  <si>
    <t>16:58:00</t>
  </si>
  <si>
    <t>В1835СА</t>
  </si>
  <si>
    <t>78970155027720220</t>
  </si>
  <si>
    <t>12:19:00</t>
  </si>
  <si>
    <t>В6899ТХ</t>
  </si>
  <si>
    <t>78970155027720196</t>
  </si>
  <si>
    <t>В5091ТС</t>
  </si>
  <si>
    <t>78970155027720105</t>
  </si>
  <si>
    <t>В8028НН</t>
  </si>
  <si>
    <t>78970155027720154</t>
  </si>
  <si>
    <t>09:57:00</t>
  </si>
  <si>
    <t>В6359ТЕ</t>
  </si>
  <si>
    <t>78970155027720139</t>
  </si>
  <si>
    <t>11:13:00</t>
  </si>
  <si>
    <t>В9702ТА</t>
  </si>
  <si>
    <t>78970155027720113</t>
  </si>
  <si>
    <t>В7430ТМ</t>
  </si>
  <si>
    <t>78970155027720147</t>
  </si>
  <si>
    <t>78970155027720188</t>
  </si>
  <si>
    <t>78970155027720170</t>
  </si>
  <si>
    <t>В2573ХЕ</t>
  </si>
  <si>
    <t>78970151027720583</t>
  </si>
  <si>
    <t>07:53:00</t>
  </si>
  <si>
    <t>1188 Перник, Стомана</t>
  </si>
  <si>
    <t>В6957НТ</t>
  </si>
  <si>
    <t>78970155027720089</t>
  </si>
  <si>
    <t>12:40:00</t>
  </si>
  <si>
    <t>В9046НР</t>
  </si>
  <si>
    <t>78970155027720048</t>
  </si>
  <si>
    <t>10:00:00</t>
  </si>
  <si>
    <t>1112 София Резбарска</t>
  </si>
  <si>
    <t>В0509ХА</t>
  </si>
  <si>
    <t>78970155027720063</t>
  </si>
  <si>
    <t>1196 Пазарджик Царица Йоанна</t>
  </si>
  <si>
    <t>06:49:00</t>
  </si>
  <si>
    <t>В1052НН</t>
  </si>
  <si>
    <t>78970155027720121</t>
  </si>
  <si>
    <t>14:04:00</t>
  </si>
  <si>
    <t>09:00:00</t>
  </si>
  <si>
    <t>1125 Гоце Делчев</t>
  </si>
  <si>
    <t>07:30:00</t>
  </si>
  <si>
    <t>09:54:00</t>
  </si>
  <si>
    <t>14:30:00</t>
  </si>
  <si>
    <t>12:58:00</t>
  </si>
  <si>
    <t>08:22:00</t>
  </si>
  <si>
    <t>В5038НТ</t>
  </si>
  <si>
    <t>78970155027720022</t>
  </si>
  <si>
    <t>04:52:00</t>
  </si>
  <si>
    <t>1178 Русе, бул. България</t>
  </si>
  <si>
    <t>В4288ХА</t>
  </si>
  <si>
    <t>78970155027720162</t>
  </si>
  <si>
    <t>14:15:00</t>
  </si>
  <si>
    <t>16:11:00</t>
  </si>
  <si>
    <t>В5941ТН</t>
  </si>
  <si>
    <t>78970155027720030</t>
  </si>
  <si>
    <t>В5649НТ</t>
  </si>
  <si>
    <t>78970155027720097</t>
  </si>
  <si>
    <t>14:37:00</t>
  </si>
  <si>
    <t>09:40:00</t>
  </si>
  <si>
    <t>10:24:00</t>
  </si>
  <si>
    <t>1L MEGATRON ULTRA 10W-40 LUBS</t>
  </si>
  <si>
    <t>16:44:00</t>
  </si>
  <si>
    <t>В5982XK</t>
  </si>
  <si>
    <t>78970156027720822</t>
  </si>
  <si>
    <t>12:03:00</t>
  </si>
  <si>
    <t>14:02:00</t>
  </si>
  <si>
    <t>15:45:00</t>
  </si>
  <si>
    <t>08:06:00</t>
  </si>
  <si>
    <t>1189 Дупница</t>
  </si>
  <si>
    <t>10:27:00</t>
  </si>
  <si>
    <t>10:22:00</t>
  </si>
  <si>
    <t>15:15:00</t>
  </si>
  <si>
    <t>В6364ТЕ</t>
  </si>
  <si>
    <t>78970155027720055</t>
  </si>
  <si>
    <t>14:44:00</t>
  </si>
  <si>
    <t>09:08:00</t>
  </si>
  <si>
    <t>1120 Пловдив Радиново</t>
  </si>
  <si>
    <t>15:51:00</t>
  </si>
  <si>
    <t>16:24:00</t>
  </si>
  <si>
    <t>09:15:00</t>
  </si>
  <si>
    <t>1149 Кюстендил Николичевски път</t>
  </si>
  <si>
    <t>17:13:00</t>
  </si>
  <si>
    <t>04:56:00</t>
  </si>
  <si>
    <t>16:25:00</t>
  </si>
  <si>
    <t>10:57:00</t>
  </si>
  <si>
    <t>1118 Сливен Била</t>
  </si>
  <si>
    <t>12:18:00</t>
  </si>
  <si>
    <t>В0841НК</t>
  </si>
  <si>
    <t>78970151027720567</t>
  </si>
  <si>
    <t>08:20:00</t>
  </si>
  <si>
    <t>1182 София Каменоделска</t>
  </si>
  <si>
    <t>14:01:00</t>
  </si>
  <si>
    <t>11:18:00</t>
  </si>
  <si>
    <t>10:26:00</t>
  </si>
  <si>
    <t>16:38:00</t>
  </si>
  <si>
    <t>08:31:00</t>
  </si>
  <si>
    <t>12:17:00</t>
  </si>
  <si>
    <t>11:46:00</t>
  </si>
  <si>
    <t>10:06:00</t>
  </si>
  <si>
    <t>18:52:00</t>
  </si>
  <si>
    <t>18:27:00</t>
  </si>
  <si>
    <t>В9752ВР</t>
  </si>
  <si>
    <t>78970156027720442</t>
  </si>
  <si>
    <t>17:37:00</t>
  </si>
  <si>
    <t>В7860ХА</t>
  </si>
  <si>
    <t>78970156027720475</t>
  </si>
  <si>
    <t>В3992ВВ</t>
  </si>
  <si>
    <t>78970156027720426</t>
  </si>
  <si>
    <t>21:20:00</t>
  </si>
  <si>
    <t>11:03:00</t>
  </si>
  <si>
    <t>08:24:00</t>
  </si>
  <si>
    <t>08:30:00</t>
  </si>
  <si>
    <t>17:06:00</t>
  </si>
  <si>
    <t>B6469TH</t>
  </si>
  <si>
    <t>78970156027720269</t>
  </si>
  <si>
    <t>11:08:00</t>
  </si>
  <si>
    <t>B9325TM</t>
  </si>
  <si>
    <t>78970156027720251</t>
  </si>
  <si>
    <t>10:11:00</t>
  </si>
  <si>
    <t>1162 София Люлин П. Владигеров</t>
  </si>
  <si>
    <t>10:07:00</t>
  </si>
  <si>
    <t>D</t>
  </si>
  <si>
    <t>78970156027720236</t>
  </si>
  <si>
    <t>15:12:00</t>
  </si>
  <si>
    <t>B8959TE</t>
  </si>
  <si>
    <t>78970156027720053</t>
  </si>
  <si>
    <t>B9231XE</t>
  </si>
  <si>
    <t>78970156027720483</t>
  </si>
  <si>
    <t>S</t>
  </si>
  <si>
    <t>78970156027720228</t>
  </si>
  <si>
    <t>B6349TT</t>
  </si>
  <si>
    <t>78970156027720186</t>
  </si>
  <si>
    <t>15:00:00</t>
  </si>
  <si>
    <t>B1972XB</t>
  </si>
  <si>
    <t>78970156027720061</t>
  </si>
  <si>
    <t>1904 София, О5 Княжево</t>
  </si>
  <si>
    <t>B3592BB</t>
  </si>
  <si>
    <t>78970156027720210</t>
  </si>
  <si>
    <t>B1973XB</t>
  </si>
  <si>
    <t>78970156027720087</t>
  </si>
  <si>
    <t>06:22:00</t>
  </si>
  <si>
    <t>B8986TE</t>
  </si>
  <si>
    <t>78970156027720046</t>
  </si>
  <si>
    <t>B1975XB</t>
  </si>
  <si>
    <t>78970156027720079</t>
  </si>
  <si>
    <t>C</t>
  </si>
  <si>
    <t>78970156027720244</t>
  </si>
  <si>
    <t>1110 Петрич вход</t>
  </si>
  <si>
    <t>B7411HP</t>
  </si>
  <si>
    <t>78970156027720111</t>
  </si>
  <si>
    <t>15:22:00</t>
  </si>
  <si>
    <t>05:32:00</t>
  </si>
  <si>
    <t>B7320TH</t>
  </si>
  <si>
    <t>78970156027720020</t>
  </si>
  <si>
    <t>12:01:00</t>
  </si>
  <si>
    <t>07:00:00</t>
  </si>
  <si>
    <t>06:34:00</t>
  </si>
  <si>
    <t>B4348BM</t>
  </si>
  <si>
    <t>78970156027720152</t>
  </si>
  <si>
    <t>11:31:00</t>
  </si>
  <si>
    <t>1922 Kardzhali Belomorski</t>
  </si>
  <si>
    <t>05:54:00</t>
  </si>
  <si>
    <t>B9632TM</t>
  </si>
  <si>
    <t>78970156027720038</t>
  </si>
  <si>
    <t>09:34:00</t>
  </si>
  <si>
    <t>16:42:00</t>
  </si>
  <si>
    <t>06:06:00</t>
  </si>
  <si>
    <t>B7381HP</t>
  </si>
  <si>
    <t>78970156027720103</t>
  </si>
  <si>
    <t>V</t>
  </si>
  <si>
    <t>78970153027720795</t>
  </si>
  <si>
    <t>09:42:00</t>
  </si>
  <si>
    <t>10:47:00</t>
  </si>
  <si>
    <t>18:58:00</t>
  </si>
  <si>
    <t>B7033TA</t>
  </si>
  <si>
    <t>78970156027720160</t>
  </si>
  <si>
    <t>06:03:00</t>
  </si>
  <si>
    <t>07:32:00</t>
  </si>
  <si>
    <t>07:45:00</t>
  </si>
  <si>
    <t>09:38:00</t>
  </si>
  <si>
    <t>B2127TX</t>
  </si>
  <si>
    <t>78970156027720137</t>
  </si>
  <si>
    <t>13:05:00</t>
  </si>
  <si>
    <t>09:47:00</t>
  </si>
  <si>
    <t>05:24:00</t>
  </si>
  <si>
    <t>07:07:00</t>
  </si>
  <si>
    <t>20:00:00</t>
  </si>
  <si>
    <t>06:45:00</t>
  </si>
  <si>
    <t>11:51:00</t>
  </si>
  <si>
    <t>B0038XB</t>
  </si>
  <si>
    <t>78970156027720830</t>
  </si>
  <si>
    <t>03:06:00</t>
  </si>
  <si>
    <t>B2909XA</t>
  </si>
  <si>
    <t>78970156027720194</t>
  </si>
  <si>
    <t>17:40:00</t>
  </si>
  <si>
    <t>07:09:00</t>
  </si>
  <si>
    <t>03:16:00</t>
  </si>
  <si>
    <t>12:24:00</t>
  </si>
  <si>
    <t>08:25:00</t>
  </si>
  <si>
    <t>06:12:00</t>
  </si>
  <si>
    <t>B7087BP</t>
  </si>
  <si>
    <t>78970156027720095</t>
  </si>
  <si>
    <t>05:19:00</t>
  </si>
  <si>
    <t>12:04:00</t>
  </si>
  <si>
    <t>06:53:00</t>
  </si>
  <si>
    <t>78970110027720027</t>
  </si>
  <si>
    <t>9</t>
  </si>
  <si>
    <t>78970110027720092</t>
  </si>
  <si>
    <t>8</t>
  </si>
  <si>
    <t>78970110027720084</t>
  </si>
  <si>
    <t>19:52:00</t>
  </si>
  <si>
    <t>7</t>
  </si>
  <si>
    <t>78970110027720076</t>
  </si>
  <si>
    <t>13:58:00</t>
  </si>
  <si>
    <t>1169 Видин Кула</t>
  </si>
  <si>
    <t>СВ2201СС</t>
  </si>
  <si>
    <t>78970110027720415</t>
  </si>
  <si>
    <t>18:56:00</t>
  </si>
  <si>
    <t>19</t>
  </si>
  <si>
    <t>78970110027720241</t>
  </si>
  <si>
    <t>16:23:00</t>
  </si>
  <si>
    <t>19:15:00</t>
  </si>
  <si>
    <t>Р7826КН</t>
  </si>
  <si>
    <t>78970110027720183</t>
  </si>
  <si>
    <t>13:09:00</t>
  </si>
  <si>
    <t>1 Л. АНТИФРИЗ ЛОНГ ЛАЙФ КОНЦЕНТРАТ</t>
  </si>
  <si>
    <t>78970110027720118</t>
  </si>
  <si>
    <t>10:40:00</t>
  </si>
  <si>
    <t>4</t>
  </si>
  <si>
    <t>78970110027720043</t>
  </si>
  <si>
    <t>15:26:00</t>
  </si>
  <si>
    <t>18:23:00</t>
  </si>
  <si>
    <t>78970110027720035</t>
  </si>
  <si>
    <t>B0441BH</t>
  </si>
  <si>
    <t>78970153027720159</t>
  </si>
  <si>
    <t>:  :00</t>
  </si>
  <si>
    <t>12:35:00</t>
  </si>
  <si>
    <t>В0048ТР</t>
  </si>
  <si>
    <t>78970153027720084</t>
  </si>
  <si>
    <t>10:04:00</t>
  </si>
  <si>
    <t>18:10:00</t>
  </si>
  <si>
    <t>14</t>
  </si>
  <si>
    <t>78970110027720142</t>
  </si>
  <si>
    <t>11:06:00</t>
  </si>
  <si>
    <t>14:35:00</t>
  </si>
  <si>
    <t>20:26:00</t>
  </si>
  <si>
    <t>78970153027720209</t>
  </si>
  <si>
    <t>12:25:00</t>
  </si>
  <si>
    <t>Р2947КН</t>
  </si>
  <si>
    <t>78970110027720175</t>
  </si>
  <si>
    <t>09:51:00</t>
  </si>
  <si>
    <t>18:25:00</t>
  </si>
  <si>
    <t>12</t>
  </si>
  <si>
    <t>78970110027720126</t>
  </si>
  <si>
    <t>14:59:00</t>
  </si>
  <si>
    <t>18:19:00</t>
  </si>
  <si>
    <t>16</t>
  </si>
  <si>
    <t>78970110027720217</t>
  </si>
  <si>
    <t>5L SONAX WINTER SCREENWASH - READY</t>
  </si>
  <si>
    <t>15:57:00</t>
  </si>
  <si>
    <t>15:40:00</t>
  </si>
  <si>
    <t>14:21:00</t>
  </si>
  <si>
    <t>19:44:00</t>
  </si>
  <si>
    <t>18</t>
  </si>
  <si>
    <t>78970110027720233</t>
  </si>
  <si>
    <t>11:14:00</t>
  </si>
  <si>
    <t>21:08:00</t>
  </si>
  <si>
    <t>16:52:00</t>
  </si>
  <si>
    <t>В1420ТН</t>
  </si>
  <si>
    <t>78970152027720011</t>
  </si>
  <si>
    <t>Р9581МА</t>
  </si>
  <si>
    <t>78970153027721017</t>
  </si>
  <si>
    <t>17:39:00</t>
  </si>
  <si>
    <t>15:49:00</t>
  </si>
  <si>
    <t>21:09:00</t>
  </si>
  <si>
    <t>СВ6789ХА</t>
  </si>
  <si>
    <t>78970153027721223</t>
  </si>
  <si>
    <t>СВ6868РО</t>
  </si>
  <si>
    <t>78970153027721256</t>
  </si>
  <si>
    <t>16:19:00</t>
  </si>
  <si>
    <t>1917 бул. Асен Йорданов</t>
  </si>
  <si>
    <t>ТХ3500РХ</t>
  </si>
  <si>
    <t>78970151027720708</t>
  </si>
  <si>
    <t>1171 Кулата</t>
  </si>
  <si>
    <t>СВ2394АО</t>
  </si>
  <si>
    <t>78970153027721264</t>
  </si>
  <si>
    <t>20:57:00</t>
  </si>
  <si>
    <t>15</t>
  </si>
  <si>
    <t>78970110027720159</t>
  </si>
  <si>
    <t>12:08:00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</si>
</sst>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workbookViewId="0">
      <selection activeCell="P10" sqref="P10"/>
    </sheetView>
  </sheetViews>
  <sheetFormatPr defaultRowHeight="15" x14ac:dyDescent="0.25"/>
  <cols>
    <col min="1" max="1" width="10.42578125" bestFit="1" customWidth="1"/>
    <col min="2" max="2" width="29" bestFit="1" customWidth="1"/>
    <col min="4" max="4" width="18.28515625" bestFit="1" customWidth="1"/>
    <col min="5" max="5" width="16.42578125" bestFit="1" customWidth="1"/>
    <col min="6" max="6" width="7" bestFit="1" customWidth="1"/>
    <col min="7" max="7" width="15.28515625" bestFit="1" customWidth="1"/>
    <col min="8" max="8" width="11.7109375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85.968000000000004</v>
      </c>
      <c r="G2" t="s">
        <v>17</v>
      </c>
      <c r="J2">
        <v>1.26</v>
      </c>
      <c r="K2">
        <v>108.32</v>
      </c>
      <c r="L2" t="s">
        <v>18</v>
      </c>
    </row>
    <row r="3" spans="1:12" x14ac:dyDescent="0.25">
      <c r="A3" t="s">
        <v>19</v>
      </c>
      <c r="B3" t="s">
        <v>20</v>
      </c>
      <c r="C3" t="s">
        <v>21</v>
      </c>
      <c r="D3" t="s">
        <v>22</v>
      </c>
      <c r="E3" t="s">
        <v>16</v>
      </c>
      <c r="F3">
        <v>40</v>
      </c>
      <c r="G3" t="s">
        <v>17</v>
      </c>
      <c r="J3">
        <v>1.28</v>
      </c>
      <c r="K3">
        <v>51.2</v>
      </c>
      <c r="L3" t="s">
        <v>23</v>
      </c>
    </row>
    <row r="4" spans="1:12" x14ac:dyDescent="0.25">
      <c r="A4" t="s">
        <v>24</v>
      </c>
      <c r="B4" t="s">
        <v>13</v>
      </c>
      <c r="C4" t="s">
        <v>25</v>
      </c>
      <c r="D4" t="s">
        <v>26</v>
      </c>
      <c r="E4" t="s">
        <v>16</v>
      </c>
      <c r="F4">
        <v>55.27</v>
      </c>
      <c r="G4" t="s">
        <v>17</v>
      </c>
      <c r="J4">
        <v>1.26</v>
      </c>
      <c r="K4">
        <v>69.64</v>
      </c>
      <c r="L4" t="s">
        <v>27</v>
      </c>
    </row>
    <row r="5" spans="1:12" x14ac:dyDescent="0.25">
      <c r="A5" t="s">
        <v>28</v>
      </c>
      <c r="B5" t="s">
        <v>13</v>
      </c>
      <c r="C5" t="s">
        <v>29</v>
      </c>
      <c r="D5" t="s">
        <v>30</v>
      </c>
      <c r="E5" t="s">
        <v>16</v>
      </c>
      <c r="F5">
        <v>70.024000000000001</v>
      </c>
      <c r="G5" t="s">
        <v>17</v>
      </c>
      <c r="J5">
        <v>1.26</v>
      </c>
      <c r="K5">
        <v>88.23</v>
      </c>
      <c r="L5" t="s">
        <v>31</v>
      </c>
    </row>
    <row r="6" spans="1:12" x14ac:dyDescent="0.25">
      <c r="A6" t="s">
        <v>32</v>
      </c>
      <c r="B6" t="s">
        <v>13</v>
      </c>
      <c r="C6" t="s">
        <v>33</v>
      </c>
      <c r="D6" t="s">
        <v>34</v>
      </c>
      <c r="E6" t="s">
        <v>16</v>
      </c>
      <c r="F6">
        <v>74.992000000000004</v>
      </c>
      <c r="G6" t="s">
        <v>17</v>
      </c>
      <c r="J6">
        <v>1.26</v>
      </c>
      <c r="K6">
        <v>94.49</v>
      </c>
      <c r="L6" t="s">
        <v>35</v>
      </c>
    </row>
    <row r="7" spans="1:12" x14ac:dyDescent="0.25">
      <c r="A7" t="s">
        <v>36</v>
      </c>
      <c r="B7" t="s">
        <v>13</v>
      </c>
      <c r="C7" t="s">
        <v>21</v>
      </c>
      <c r="D7" t="s">
        <v>22</v>
      </c>
      <c r="E7" t="s">
        <v>16</v>
      </c>
      <c r="F7">
        <v>50</v>
      </c>
      <c r="G7" t="s">
        <v>17</v>
      </c>
      <c r="J7">
        <v>1.26</v>
      </c>
      <c r="K7">
        <v>63</v>
      </c>
      <c r="L7" t="s">
        <v>37</v>
      </c>
    </row>
    <row r="8" spans="1:12" x14ac:dyDescent="0.25">
      <c r="A8" t="s">
        <v>38</v>
      </c>
      <c r="B8" t="s">
        <v>39</v>
      </c>
      <c r="C8" t="s">
        <v>25</v>
      </c>
      <c r="D8" t="s">
        <v>26</v>
      </c>
      <c r="E8" t="s">
        <v>16</v>
      </c>
      <c r="F8">
        <v>59.905999999999899</v>
      </c>
      <c r="G8" t="s">
        <v>17</v>
      </c>
      <c r="J8">
        <v>1.28</v>
      </c>
      <c r="K8">
        <v>76.680000000000007</v>
      </c>
      <c r="L8" t="s">
        <v>40</v>
      </c>
    </row>
    <row r="9" spans="1:12" x14ac:dyDescent="0.25">
      <c r="A9" t="s">
        <v>41</v>
      </c>
      <c r="B9" t="s">
        <v>13</v>
      </c>
      <c r="C9" t="s">
        <v>29</v>
      </c>
      <c r="D9" t="s">
        <v>30</v>
      </c>
      <c r="E9" t="s">
        <v>16</v>
      </c>
      <c r="F9">
        <v>84</v>
      </c>
      <c r="G9" t="s">
        <v>17</v>
      </c>
      <c r="J9">
        <v>1.27</v>
      </c>
      <c r="K9">
        <v>106.68</v>
      </c>
      <c r="L9" t="s">
        <v>42</v>
      </c>
    </row>
    <row r="10" spans="1:12" x14ac:dyDescent="0.25">
      <c r="A10" t="s">
        <v>43</v>
      </c>
      <c r="B10" t="s">
        <v>13</v>
      </c>
      <c r="C10" t="s">
        <v>14</v>
      </c>
      <c r="D10" t="s">
        <v>15</v>
      </c>
      <c r="E10" t="s">
        <v>16</v>
      </c>
      <c r="F10">
        <v>92</v>
      </c>
      <c r="G10" t="s">
        <v>17</v>
      </c>
      <c r="J10">
        <v>1.28</v>
      </c>
      <c r="K10">
        <v>117.76</v>
      </c>
      <c r="L10" t="s">
        <v>44</v>
      </c>
    </row>
    <row r="11" spans="1:12" x14ac:dyDescent="0.25">
      <c r="A11" t="s">
        <v>45</v>
      </c>
      <c r="B11" t="s">
        <v>13</v>
      </c>
      <c r="C11" t="s">
        <v>46</v>
      </c>
      <c r="D11" t="s">
        <v>47</v>
      </c>
      <c r="E11" t="s">
        <v>16</v>
      </c>
      <c r="F11">
        <v>35.539000000000001</v>
      </c>
      <c r="G11" t="s">
        <v>17</v>
      </c>
      <c r="J11">
        <v>1.28</v>
      </c>
      <c r="K11">
        <v>45.49</v>
      </c>
      <c r="L11" t="s">
        <v>48</v>
      </c>
    </row>
    <row r="12" spans="1:12" x14ac:dyDescent="0.25">
      <c r="A12" t="s">
        <v>45</v>
      </c>
      <c r="B12" t="s">
        <v>13</v>
      </c>
      <c r="C12" t="s">
        <v>25</v>
      </c>
      <c r="D12" t="s">
        <v>26</v>
      </c>
      <c r="E12" t="s">
        <v>16</v>
      </c>
      <c r="F12">
        <v>10.5779999999999</v>
      </c>
      <c r="G12" t="s">
        <v>17</v>
      </c>
      <c r="J12">
        <v>1.28</v>
      </c>
      <c r="K12">
        <v>13.54</v>
      </c>
      <c r="L12" t="s">
        <v>49</v>
      </c>
    </row>
    <row r="13" spans="1:12" x14ac:dyDescent="0.25">
      <c r="A13" t="s">
        <v>45</v>
      </c>
      <c r="B13" t="s">
        <v>13</v>
      </c>
      <c r="C13" t="s">
        <v>29</v>
      </c>
      <c r="D13" t="s">
        <v>30</v>
      </c>
      <c r="E13" t="s">
        <v>16</v>
      </c>
      <c r="F13">
        <v>51.046999999999898</v>
      </c>
      <c r="G13" t="s">
        <v>17</v>
      </c>
      <c r="J13">
        <v>1.28</v>
      </c>
      <c r="K13">
        <v>65.34</v>
      </c>
      <c r="L13" t="s">
        <v>50</v>
      </c>
    </row>
    <row r="14" spans="1:12" x14ac:dyDescent="0.25">
      <c r="F14" s="1">
        <f>SUM(F2:F13)</f>
        <v>709.32399999999961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F7" sqref="F7"/>
    </sheetView>
  </sheetViews>
  <sheetFormatPr defaultRowHeight="15" x14ac:dyDescent="0.25"/>
  <cols>
    <col min="1" max="1" width="10.42578125" bestFit="1" customWidth="1"/>
    <col min="2" max="2" width="25.7109375" bestFit="1" customWidth="1"/>
    <col min="4" max="4" width="18.28515625" bestFit="1" customWidth="1"/>
    <col min="5" max="5" width="16.42578125" bestFit="1" customWidth="1"/>
    <col min="6" max="6" width="8" bestFit="1" customWidth="1"/>
    <col min="7" max="7" width="15.285156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</v>
      </c>
      <c r="B2" t="s">
        <v>52</v>
      </c>
      <c r="C2" t="s">
        <v>53</v>
      </c>
      <c r="D2" t="s">
        <v>54</v>
      </c>
      <c r="E2" t="s">
        <v>16</v>
      </c>
      <c r="F2">
        <v>50.796999999999898</v>
      </c>
      <c r="G2" t="s">
        <v>17</v>
      </c>
      <c r="J2">
        <v>1.28</v>
      </c>
      <c r="K2">
        <v>65.02</v>
      </c>
      <c r="L2" t="s">
        <v>55</v>
      </c>
    </row>
    <row r="3" spans="1:12" x14ac:dyDescent="0.25">
      <c r="A3" t="s">
        <v>12</v>
      </c>
      <c r="B3" t="s">
        <v>52</v>
      </c>
      <c r="C3" t="s">
        <v>53</v>
      </c>
      <c r="D3" t="s">
        <v>54</v>
      </c>
      <c r="E3" t="s">
        <v>16</v>
      </c>
      <c r="F3">
        <v>25.7579999999999</v>
      </c>
      <c r="G3" t="s">
        <v>17</v>
      </c>
      <c r="J3">
        <v>1.28</v>
      </c>
      <c r="K3">
        <v>32.97</v>
      </c>
      <c r="L3" t="s">
        <v>56</v>
      </c>
    </row>
    <row r="4" spans="1:12" x14ac:dyDescent="0.25">
      <c r="A4" t="s">
        <v>57</v>
      </c>
      <c r="B4" t="s">
        <v>52</v>
      </c>
      <c r="C4" t="s">
        <v>53</v>
      </c>
      <c r="D4" t="s">
        <v>54</v>
      </c>
      <c r="E4" t="s">
        <v>16</v>
      </c>
      <c r="F4">
        <v>62.5</v>
      </c>
      <c r="G4" t="s">
        <v>17</v>
      </c>
      <c r="J4">
        <v>1.28</v>
      </c>
      <c r="K4">
        <v>80</v>
      </c>
      <c r="L4" t="s">
        <v>58</v>
      </c>
    </row>
    <row r="5" spans="1:12" x14ac:dyDescent="0.25">
      <c r="A5" t="s">
        <v>32</v>
      </c>
      <c r="B5" t="s">
        <v>52</v>
      </c>
      <c r="C5" t="s">
        <v>53</v>
      </c>
      <c r="D5" t="s">
        <v>54</v>
      </c>
      <c r="E5" t="s">
        <v>16</v>
      </c>
      <c r="F5">
        <v>103.172</v>
      </c>
      <c r="G5" t="s">
        <v>17</v>
      </c>
      <c r="J5">
        <v>1.28</v>
      </c>
      <c r="K5">
        <v>132.06</v>
      </c>
      <c r="L5" t="s">
        <v>59</v>
      </c>
    </row>
    <row r="6" spans="1:12" x14ac:dyDescent="0.25">
      <c r="A6" t="s">
        <v>45</v>
      </c>
      <c r="B6" t="s">
        <v>52</v>
      </c>
      <c r="C6" t="s">
        <v>53</v>
      </c>
      <c r="D6" t="s">
        <v>54</v>
      </c>
      <c r="E6" t="s">
        <v>16</v>
      </c>
      <c r="F6">
        <v>60</v>
      </c>
      <c r="G6" t="s">
        <v>17</v>
      </c>
      <c r="J6">
        <v>1.3</v>
      </c>
      <c r="K6">
        <v>78</v>
      </c>
      <c r="L6" t="s">
        <v>60</v>
      </c>
    </row>
    <row r="7" spans="1:12" x14ac:dyDescent="0.25">
      <c r="F7" s="1">
        <f>SUM(F2:F6)</f>
        <v>302.22699999999975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"/>
  <sheetViews>
    <sheetView workbookViewId="0">
      <selection activeCell="F4" sqref="F4"/>
    </sheetView>
  </sheetViews>
  <sheetFormatPr defaultRowHeight="15" x14ac:dyDescent="0.25"/>
  <cols>
    <col min="1" max="1" width="10.42578125" bestFit="1" customWidth="1"/>
    <col min="2" max="2" width="22.85546875" bestFit="1" customWidth="1"/>
    <col min="3" max="3" width="10.28515625" bestFit="1" customWidth="1"/>
    <col min="4" max="4" width="18.28515625" bestFit="1" customWidth="1"/>
    <col min="5" max="5" width="22.85546875" bestFit="1" customWidth="1"/>
    <col min="7" max="7" width="15.285156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61</v>
      </c>
      <c r="B2" t="s">
        <v>62</v>
      </c>
      <c r="C2" t="s">
        <v>63</v>
      </c>
      <c r="D2" t="s">
        <v>64</v>
      </c>
      <c r="E2" t="s">
        <v>65</v>
      </c>
      <c r="F2">
        <v>32.512</v>
      </c>
      <c r="G2" t="s">
        <v>17</v>
      </c>
      <c r="J2">
        <v>1.23</v>
      </c>
      <c r="K2">
        <v>39.99</v>
      </c>
      <c r="L2" t="s">
        <v>66</v>
      </c>
    </row>
    <row r="3" spans="1:12" x14ac:dyDescent="0.25">
      <c r="A3" t="s">
        <v>41</v>
      </c>
      <c r="B3" t="s">
        <v>62</v>
      </c>
      <c r="C3" t="s">
        <v>63</v>
      </c>
      <c r="D3" t="s">
        <v>64</v>
      </c>
      <c r="E3" t="s">
        <v>65</v>
      </c>
      <c r="F3">
        <v>36.576999999999899</v>
      </c>
      <c r="G3" t="s">
        <v>17</v>
      </c>
      <c r="J3">
        <v>1.23</v>
      </c>
      <c r="K3">
        <v>44.99</v>
      </c>
      <c r="L3" t="s">
        <v>67</v>
      </c>
    </row>
    <row r="4" spans="1:12" x14ac:dyDescent="0.25">
      <c r="F4" s="1">
        <f>SUM(F2:F3)</f>
        <v>69.088999999999899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workbookViewId="0">
      <selection activeCell="F13" sqref="F13"/>
    </sheetView>
  </sheetViews>
  <sheetFormatPr defaultRowHeight="15" x14ac:dyDescent="0.25"/>
  <cols>
    <col min="1" max="1" width="10.42578125" bestFit="1" customWidth="1"/>
    <col min="2" max="2" width="21.140625" bestFit="1" customWidth="1"/>
    <col min="3" max="3" width="8.85546875" bestFit="1" customWidth="1"/>
    <col min="4" max="4" width="18.28515625" bestFit="1" customWidth="1"/>
    <col min="5" max="5" width="22.85546875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68</v>
      </c>
      <c r="C2" t="s">
        <v>69</v>
      </c>
      <c r="D2" t="s">
        <v>70</v>
      </c>
      <c r="E2" t="s">
        <v>65</v>
      </c>
      <c r="F2">
        <v>59.024000000000001</v>
      </c>
      <c r="G2" t="s">
        <v>17</v>
      </c>
      <c r="J2">
        <v>1.25</v>
      </c>
      <c r="K2">
        <v>73.78</v>
      </c>
      <c r="L2" t="s">
        <v>71</v>
      </c>
    </row>
    <row r="3" spans="1:12" x14ac:dyDescent="0.25">
      <c r="A3" t="s">
        <v>57</v>
      </c>
      <c r="B3" t="s">
        <v>72</v>
      </c>
      <c r="C3" t="s">
        <v>73</v>
      </c>
      <c r="D3" t="s">
        <v>74</v>
      </c>
      <c r="E3" t="s">
        <v>16</v>
      </c>
      <c r="F3">
        <v>800</v>
      </c>
      <c r="G3" t="s">
        <v>17</v>
      </c>
      <c r="J3">
        <v>1.28</v>
      </c>
      <c r="K3">
        <v>1024</v>
      </c>
      <c r="L3" t="s">
        <v>75</v>
      </c>
    </row>
    <row r="4" spans="1:12" x14ac:dyDescent="0.25">
      <c r="A4" t="s">
        <v>76</v>
      </c>
      <c r="B4" t="s">
        <v>72</v>
      </c>
      <c r="C4" t="s">
        <v>73</v>
      </c>
      <c r="D4" t="s">
        <v>74</v>
      </c>
      <c r="E4" t="s">
        <v>16</v>
      </c>
      <c r="F4">
        <v>500</v>
      </c>
      <c r="G4" t="s">
        <v>17</v>
      </c>
      <c r="J4">
        <v>1.28</v>
      </c>
      <c r="K4">
        <v>640</v>
      </c>
      <c r="L4" t="s">
        <v>77</v>
      </c>
    </row>
    <row r="5" spans="1:12" x14ac:dyDescent="0.25">
      <c r="A5" t="s">
        <v>28</v>
      </c>
      <c r="B5" t="s">
        <v>72</v>
      </c>
      <c r="C5" t="s">
        <v>73</v>
      </c>
      <c r="D5" t="s">
        <v>74</v>
      </c>
      <c r="E5" t="s">
        <v>16</v>
      </c>
      <c r="F5">
        <v>700</v>
      </c>
      <c r="G5" t="s">
        <v>17</v>
      </c>
      <c r="J5">
        <v>1.28</v>
      </c>
      <c r="K5">
        <v>896</v>
      </c>
      <c r="L5" t="s">
        <v>78</v>
      </c>
    </row>
    <row r="6" spans="1:12" x14ac:dyDescent="0.25">
      <c r="A6" t="s">
        <v>32</v>
      </c>
      <c r="B6" t="s">
        <v>79</v>
      </c>
      <c r="C6" t="s">
        <v>69</v>
      </c>
      <c r="D6" t="s">
        <v>70</v>
      </c>
      <c r="E6" t="s">
        <v>65</v>
      </c>
      <c r="F6">
        <v>57.847000000000001</v>
      </c>
      <c r="G6" t="s">
        <v>17</v>
      </c>
      <c r="J6">
        <v>1.24</v>
      </c>
      <c r="K6">
        <v>71.73</v>
      </c>
      <c r="L6" t="s">
        <v>80</v>
      </c>
    </row>
    <row r="7" spans="1:12" x14ac:dyDescent="0.25">
      <c r="A7" t="s">
        <v>81</v>
      </c>
      <c r="B7" t="s">
        <v>72</v>
      </c>
      <c r="C7" t="s">
        <v>82</v>
      </c>
      <c r="D7" t="s">
        <v>83</v>
      </c>
      <c r="E7" t="s">
        <v>16</v>
      </c>
      <c r="F7">
        <v>16.539000000000001</v>
      </c>
      <c r="G7" t="s">
        <v>17</v>
      </c>
      <c r="J7">
        <v>1.28</v>
      </c>
      <c r="K7">
        <v>21.17</v>
      </c>
      <c r="L7" t="s">
        <v>84</v>
      </c>
    </row>
    <row r="8" spans="1:12" x14ac:dyDescent="0.25">
      <c r="A8" t="s">
        <v>85</v>
      </c>
      <c r="B8" t="s">
        <v>72</v>
      </c>
      <c r="C8" t="s">
        <v>73</v>
      </c>
      <c r="D8" t="s">
        <v>74</v>
      </c>
      <c r="E8" t="s">
        <v>16</v>
      </c>
      <c r="F8">
        <v>600</v>
      </c>
      <c r="G8" t="s">
        <v>17</v>
      </c>
      <c r="J8">
        <v>1.28</v>
      </c>
      <c r="K8">
        <v>768</v>
      </c>
      <c r="L8" t="s">
        <v>86</v>
      </c>
    </row>
    <row r="9" spans="1:12" x14ac:dyDescent="0.25">
      <c r="A9" t="s">
        <v>38</v>
      </c>
      <c r="B9" t="s">
        <v>87</v>
      </c>
      <c r="C9" t="s">
        <v>82</v>
      </c>
      <c r="D9" t="s">
        <v>83</v>
      </c>
      <c r="E9" t="s">
        <v>16</v>
      </c>
      <c r="F9">
        <v>43.362000000000002</v>
      </c>
      <c r="G9" t="s">
        <v>17</v>
      </c>
      <c r="J9">
        <v>1.3</v>
      </c>
      <c r="K9">
        <v>56.37</v>
      </c>
      <c r="L9" t="s">
        <v>88</v>
      </c>
    </row>
    <row r="10" spans="1:12" x14ac:dyDescent="0.25">
      <c r="A10" t="s">
        <v>41</v>
      </c>
      <c r="B10" t="s">
        <v>68</v>
      </c>
      <c r="C10" t="s">
        <v>69</v>
      </c>
      <c r="D10" t="s">
        <v>70</v>
      </c>
      <c r="E10" t="s">
        <v>65</v>
      </c>
      <c r="F10">
        <v>61.543999999999897</v>
      </c>
      <c r="G10" t="s">
        <v>17</v>
      </c>
      <c r="J10">
        <v>1.25</v>
      </c>
      <c r="K10">
        <v>76.930000000000007</v>
      </c>
      <c r="L10" t="s">
        <v>89</v>
      </c>
    </row>
    <row r="11" spans="1:12" x14ac:dyDescent="0.25">
      <c r="A11" t="s">
        <v>43</v>
      </c>
      <c r="B11" t="s">
        <v>72</v>
      </c>
      <c r="C11" t="s">
        <v>73</v>
      </c>
      <c r="D11" t="s">
        <v>74</v>
      </c>
      <c r="E11" t="s">
        <v>16</v>
      </c>
      <c r="F11">
        <v>900</v>
      </c>
      <c r="G11" t="s">
        <v>17</v>
      </c>
      <c r="J11">
        <v>1.3</v>
      </c>
      <c r="K11">
        <v>1170</v>
      </c>
      <c r="L11" t="s">
        <v>90</v>
      </c>
    </row>
    <row r="12" spans="1:12" x14ac:dyDescent="0.25">
      <c r="A12" t="s">
        <v>91</v>
      </c>
      <c r="B12" t="s">
        <v>72</v>
      </c>
      <c r="C12" t="s">
        <v>73</v>
      </c>
      <c r="D12" t="s">
        <v>74</v>
      </c>
      <c r="E12" t="s">
        <v>16</v>
      </c>
      <c r="F12">
        <v>900</v>
      </c>
      <c r="G12" t="s">
        <v>17</v>
      </c>
      <c r="J12">
        <v>1.3</v>
      </c>
      <c r="K12">
        <v>1170</v>
      </c>
      <c r="L12" t="s">
        <v>92</v>
      </c>
    </row>
    <row r="13" spans="1:12" x14ac:dyDescent="0.25">
      <c r="F13" s="1">
        <f>SUM(F2:F12)</f>
        <v>4638.3160000000007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7"/>
  <sheetViews>
    <sheetView workbookViewId="0">
      <selection activeCell="F7" sqref="F7"/>
    </sheetView>
  </sheetViews>
  <sheetFormatPr defaultRowHeight="15" x14ac:dyDescent="0.25"/>
  <cols>
    <col min="1" max="1" width="10.42578125" bestFit="1" customWidth="1"/>
    <col min="2" max="2" width="22.85546875" bestFit="1" customWidth="1"/>
    <col min="3" max="3" width="8.8554687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68</v>
      </c>
      <c r="C2" t="s">
        <v>93</v>
      </c>
      <c r="D2" t="s">
        <v>94</v>
      </c>
      <c r="E2" t="s">
        <v>16</v>
      </c>
      <c r="F2">
        <v>64.906000000000006</v>
      </c>
      <c r="G2" t="s">
        <v>17</v>
      </c>
      <c r="J2">
        <v>1.28</v>
      </c>
      <c r="K2">
        <v>83.08</v>
      </c>
      <c r="L2" t="s">
        <v>95</v>
      </c>
    </row>
    <row r="3" spans="1:12" x14ac:dyDescent="0.25">
      <c r="A3" t="s">
        <v>57</v>
      </c>
      <c r="B3" t="s">
        <v>68</v>
      </c>
      <c r="C3" t="s">
        <v>96</v>
      </c>
      <c r="D3" t="s">
        <v>97</v>
      </c>
      <c r="E3" t="s">
        <v>65</v>
      </c>
      <c r="F3">
        <v>44.872</v>
      </c>
      <c r="G3" t="s">
        <v>17</v>
      </c>
      <c r="J3">
        <v>1.25</v>
      </c>
      <c r="K3">
        <v>56.09</v>
      </c>
      <c r="L3" t="s">
        <v>98</v>
      </c>
    </row>
    <row r="4" spans="1:12" x14ac:dyDescent="0.25">
      <c r="A4" t="s">
        <v>38</v>
      </c>
      <c r="B4" t="s">
        <v>99</v>
      </c>
      <c r="C4" t="s">
        <v>93</v>
      </c>
      <c r="D4" t="s">
        <v>94</v>
      </c>
      <c r="E4" t="s">
        <v>16</v>
      </c>
      <c r="F4">
        <v>69.382999999999896</v>
      </c>
      <c r="G4" t="s">
        <v>17</v>
      </c>
      <c r="J4">
        <v>1.28</v>
      </c>
      <c r="K4">
        <v>88.81</v>
      </c>
      <c r="L4" t="s">
        <v>100</v>
      </c>
    </row>
    <row r="5" spans="1:12" x14ac:dyDescent="0.25">
      <c r="A5" t="s">
        <v>101</v>
      </c>
      <c r="B5" t="s">
        <v>72</v>
      </c>
      <c r="C5" t="s">
        <v>96</v>
      </c>
      <c r="D5" t="s">
        <v>97</v>
      </c>
      <c r="E5" t="s">
        <v>65</v>
      </c>
      <c r="F5">
        <v>42.768000000000001</v>
      </c>
      <c r="G5" t="s">
        <v>17</v>
      </c>
      <c r="J5">
        <v>1.25</v>
      </c>
      <c r="K5">
        <v>53.46</v>
      </c>
      <c r="L5" t="s">
        <v>102</v>
      </c>
    </row>
    <row r="6" spans="1:12" x14ac:dyDescent="0.25">
      <c r="A6" t="s">
        <v>101</v>
      </c>
      <c r="B6" t="s">
        <v>72</v>
      </c>
      <c r="C6" t="s">
        <v>103</v>
      </c>
      <c r="D6" t="s">
        <v>104</v>
      </c>
      <c r="E6" t="s">
        <v>16</v>
      </c>
      <c r="F6">
        <v>44.658999999999899</v>
      </c>
      <c r="G6" t="s">
        <v>17</v>
      </c>
      <c r="J6">
        <v>1.29</v>
      </c>
      <c r="K6">
        <v>57.61</v>
      </c>
      <c r="L6" t="s">
        <v>105</v>
      </c>
    </row>
    <row r="7" spans="1:12" x14ac:dyDescent="0.25">
      <c r="F7" s="1">
        <f>SUM(F2:F6)</f>
        <v>266.58799999999979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workbookViewId="0">
      <selection activeCell="F9" sqref="F9"/>
    </sheetView>
  </sheetViews>
  <sheetFormatPr defaultRowHeight="15" x14ac:dyDescent="0.25"/>
  <cols>
    <col min="1" max="1" width="10.42578125" bestFit="1" customWidth="1"/>
    <col min="2" max="2" width="25.7109375" bestFit="1" customWidth="1"/>
    <col min="3" max="3" width="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106</v>
      </c>
      <c r="B2" t="s">
        <v>52</v>
      </c>
      <c r="C2" t="s">
        <v>107</v>
      </c>
      <c r="D2" t="s">
        <v>108</v>
      </c>
      <c r="E2" t="s">
        <v>16</v>
      </c>
      <c r="F2">
        <v>19.523</v>
      </c>
      <c r="G2" t="s">
        <v>17</v>
      </c>
      <c r="J2">
        <v>1.28</v>
      </c>
      <c r="K2">
        <v>24.99</v>
      </c>
      <c r="L2" t="s">
        <v>109</v>
      </c>
    </row>
    <row r="3" spans="1:12" x14ac:dyDescent="0.25">
      <c r="A3" t="s">
        <v>106</v>
      </c>
      <c r="B3" t="s">
        <v>52</v>
      </c>
      <c r="C3" t="s">
        <v>107</v>
      </c>
      <c r="D3" t="s">
        <v>108</v>
      </c>
      <c r="E3" t="s">
        <v>65</v>
      </c>
      <c r="F3">
        <v>3.992</v>
      </c>
      <c r="G3" t="s">
        <v>17</v>
      </c>
      <c r="J3">
        <v>1.25</v>
      </c>
      <c r="K3">
        <v>4.99</v>
      </c>
      <c r="L3" t="s">
        <v>109</v>
      </c>
    </row>
    <row r="4" spans="1:12" x14ac:dyDescent="0.25">
      <c r="A4" t="s">
        <v>106</v>
      </c>
      <c r="B4" t="s">
        <v>52</v>
      </c>
      <c r="C4" t="s">
        <v>107</v>
      </c>
      <c r="D4" t="s">
        <v>108</v>
      </c>
      <c r="E4" t="s">
        <v>16</v>
      </c>
      <c r="F4">
        <v>27.352</v>
      </c>
      <c r="G4" t="s">
        <v>17</v>
      </c>
      <c r="J4">
        <v>1.28</v>
      </c>
      <c r="K4">
        <v>35.01</v>
      </c>
      <c r="L4" t="s">
        <v>110</v>
      </c>
    </row>
    <row r="5" spans="1:12" x14ac:dyDescent="0.25">
      <c r="A5" t="s">
        <v>24</v>
      </c>
      <c r="B5" t="s">
        <v>52</v>
      </c>
      <c r="C5" t="s">
        <v>107</v>
      </c>
      <c r="D5" t="s">
        <v>108</v>
      </c>
      <c r="E5" t="s">
        <v>16</v>
      </c>
      <c r="F5">
        <v>15.6329999999999</v>
      </c>
      <c r="G5" t="s">
        <v>17</v>
      </c>
      <c r="J5">
        <v>1.28</v>
      </c>
      <c r="K5">
        <v>20.010000000000002</v>
      </c>
      <c r="L5" t="s">
        <v>111</v>
      </c>
    </row>
    <row r="6" spans="1:12" x14ac:dyDescent="0.25">
      <c r="A6" t="s">
        <v>85</v>
      </c>
      <c r="B6" t="s">
        <v>52</v>
      </c>
      <c r="C6" t="s">
        <v>107</v>
      </c>
      <c r="D6" t="s">
        <v>108</v>
      </c>
      <c r="E6" t="s">
        <v>16</v>
      </c>
      <c r="F6">
        <v>23.437999999999899</v>
      </c>
      <c r="G6" t="s">
        <v>17</v>
      </c>
      <c r="J6">
        <v>1.28</v>
      </c>
      <c r="K6">
        <v>30</v>
      </c>
      <c r="L6" t="s">
        <v>112</v>
      </c>
    </row>
    <row r="7" spans="1:12" x14ac:dyDescent="0.25">
      <c r="A7" t="s">
        <v>43</v>
      </c>
      <c r="B7" t="s">
        <v>52</v>
      </c>
      <c r="C7" t="s">
        <v>113</v>
      </c>
      <c r="D7" t="s">
        <v>114</v>
      </c>
      <c r="E7" t="s">
        <v>16</v>
      </c>
      <c r="F7">
        <v>19.231000000000002</v>
      </c>
      <c r="G7" t="s">
        <v>17</v>
      </c>
      <c r="J7">
        <v>1.3</v>
      </c>
      <c r="K7">
        <v>25</v>
      </c>
      <c r="L7" t="s">
        <v>115</v>
      </c>
    </row>
    <row r="8" spans="1:12" x14ac:dyDescent="0.25">
      <c r="A8" t="s">
        <v>116</v>
      </c>
      <c r="B8" t="s">
        <v>52</v>
      </c>
      <c r="C8" t="s">
        <v>107</v>
      </c>
      <c r="D8" t="s">
        <v>108</v>
      </c>
      <c r="E8" t="s">
        <v>16</v>
      </c>
      <c r="F8">
        <v>15.282</v>
      </c>
      <c r="G8" t="s">
        <v>17</v>
      </c>
      <c r="J8">
        <v>1.31</v>
      </c>
      <c r="K8">
        <v>20.02</v>
      </c>
      <c r="L8" t="s">
        <v>117</v>
      </c>
    </row>
    <row r="9" spans="1:12" x14ac:dyDescent="0.25">
      <c r="F9" s="1">
        <f>SUM(F2:F8)</f>
        <v>124.45099999999981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7"/>
  <sheetViews>
    <sheetView workbookViewId="0">
      <selection activeCell="F17" sqref="F17"/>
    </sheetView>
  </sheetViews>
  <sheetFormatPr defaultRowHeight="15" x14ac:dyDescent="0.25"/>
  <cols>
    <col min="1" max="1" width="10.42578125" bestFit="1" customWidth="1"/>
    <col min="2" max="2" width="32.42578125" bestFit="1" customWidth="1"/>
    <col min="3" max="3" width="10.140625" bestFit="1" customWidth="1"/>
    <col min="4" max="4" width="18.28515625" bestFit="1" customWidth="1"/>
    <col min="5" max="5" width="26.5703125" bestFit="1" customWidth="1"/>
    <col min="6" max="6" width="8" bestFit="1" customWidth="1"/>
    <col min="7" max="7" width="15.285156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118</v>
      </c>
      <c r="B2" t="s">
        <v>119</v>
      </c>
      <c r="C2" t="s">
        <v>120</v>
      </c>
      <c r="D2" t="s">
        <v>121</v>
      </c>
      <c r="E2" t="s">
        <v>16</v>
      </c>
      <c r="F2">
        <v>23.606000000000002</v>
      </c>
      <c r="G2" t="s">
        <v>17</v>
      </c>
      <c r="J2">
        <v>1.27</v>
      </c>
      <c r="K2">
        <v>29.98</v>
      </c>
      <c r="L2" t="s">
        <v>122</v>
      </c>
    </row>
    <row r="3" spans="1:12" x14ac:dyDescent="0.25">
      <c r="A3" t="s">
        <v>36</v>
      </c>
      <c r="B3" t="s">
        <v>123</v>
      </c>
      <c r="C3" t="s">
        <v>124</v>
      </c>
      <c r="D3" t="s">
        <v>125</v>
      </c>
      <c r="E3" t="s">
        <v>16</v>
      </c>
      <c r="F3">
        <v>74.438000000000002</v>
      </c>
      <c r="G3" t="s">
        <v>17</v>
      </c>
      <c r="J3">
        <v>1.3</v>
      </c>
      <c r="K3">
        <v>96.77</v>
      </c>
      <c r="L3" t="s">
        <v>126</v>
      </c>
    </row>
    <row r="4" spans="1:12" x14ac:dyDescent="0.25">
      <c r="A4" t="s">
        <v>127</v>
      </c>
      <c r="B4" t="s">
        <v>128</v>
      </c>
      <c r="C4" t="s">
        <v>129</v>
      </c>
      <c r="D4" t="s">
        <v>130</v>
      </c>
      <c r="E4" t="s">
        <v>16</v>
      </c>
      <c r="F4">
        <v>56.569000000000003</v>
      </c>
      <c r="G4" t="s">
        <v>17</v>
      </c>
      <c r="J4">
        <v>1.3</v>
      </c>
      <c r="K4">
        <v>73.540000000000006</v>
      </c>
      <c r="L4" t="s">
        <v>131</v>
      </c>
    </row>
    <row r="5" spans="1:12" x14ac:dyDescent="0.25">
      <c r="A5" t="s">
        <v>127</v>
      </c>
      <c r="B5" t="s">
        <v>132</v>
      </c>
      <c r="C5" t="s">
        <v>133</v>
      </c>
      <c r="D5" t="s">
        <v>134</v>
      </c>
      <c r="E5" t="s">
        <v>16</v>
      </c>
      <c r="F5">
        <v>81.488</v>
      </c>
      <c r="G5" t="s">
        <v>17</v>
      </c>
      <c r="J5">
        <v>1.25</v>
      </c>
      <c r="K5">
        <v>101.86</v>
      </c>
      <c r="L5" t="s">
        <v>135</v>
      </c>
    </row>
    <row r="6" spans="1:12" x14ac:dyDescent="0.25">
      <c r="A6" t="s">
        <v>101</v>
      </c>
      <c r="B6" t="s">
        <v>136</v>
      </c>
      <c r="C6" t="s">
        <v>137</v>
      </c>
      <c r="D6" t="s">
        <v>138</v>
      </c>
      <c r="E6" t="s">
        <v>16</v>
      </c>
      <c r="F6">
        <v>67.239999999999895</v>
      </c>
      <c r="G6" t="s">
        <v>17</v>
      </c>
      <c r="J6">
        <v>1.29</v>
      </c>
      <c r="K6">
        <v>86.74</v>
      </c>
      <c r="L6" t="s">
        <v>139</v>
      </c>
    </row>
    <row r="7" spans="1:12" x14ac:dyDescent="0.25">
      <c r="A7" t="s">
        <v>41</v>
      </c>
      <c r="B7" t="s">
        <v>140</v>
      </c>
      <c r="C7" t="s">
        <v>141</v>
      </c>
      <c r="D7" t="s">
        <v>142</v>
      </c>
      <c r="E7" t="s">
        <v>16</v>
      </c>
      <c r="F7">
        <v>69.798000000000002</v>
      </c>
      <c r="G7" t="s">
        <v>17</v>
      </c>
      <c r="J7">
        <v>1.29</v>
      </c>
      <c r="K7">
        <v>90.04</v>
      </c>
      <c r="L7" t="s">
        <v>143</v>
      </c>
    </row>
    <row r="8" spans="1:12" x14ac:dyDescent="0.25">
      <c r="A8" t="s">
        <v>41</v>
      </c>
      <c r="B8" t="s">
        <v>144</v>
      </c>
      <c r="C8" t="s">
        <v>129</v>
      </c>
      <c r="D8" t="s">
        <v>130</v>
      </c>
      <c r="E8" t="s">
        <v>16</v>
      </c>
      <c r="F8">
        <v>75.739999999999895</v>
      </c>
      <c r="G8" t="s">
        <v>17</v>
      </c>
      <c r="J8">
        <v>1.31</v>
      </c>
      <c r="K8">
        <v>99.22</v>
      </c>
      <c r="L8" t="s">
        <v>145</v>
      </c>
    </row>
    <row r="9" spans="1:12" x14ac:dyDescent="0.25">
      <c r="A9" t="s">
        <v>43</v>
      </c>
      <c r="B9" t="s">
        <v>146</v>
      </c>
      <c r="C9" t="s">
        <v>133</v>
      </c>
      <c r="D9" t="s">
        <v>134</v>
      </c>
      <c r="E9" t="s">
        <v>16</v>
      </c>
      <c r="F9">
        <v>82.129000000000005</v>
      </c>
      <c r="G9" t="s">
        <v>17</v>
      </c>
      <c r="J9">
        <v>1.32</v>
      </c>
      <c r="K9">
        <v>108.41</v>
      </c>
      <c r="L9" t="s">
        <v>147</v>
      </c>
    </row>
    <row r="10" spans="1:12" x14ac:dyDescent="0.25">
      <c r="A10" t="s">
        <v>45</v>
      </c>
      <c r="B10" t="s">
        <v>148</v>
      </c>
      <c r="C10" t="s">
        <v>124</v>
      </c>
      <c r="D10" t="s">
        <v>125</v>
      </c>
      <c r="E10" t="s">
        <v>16</v>
      </c>
      <c r="F10">
        <v>67.022999999999897</v>
      </c>
      <c r="G10" t="s">
        <v>17</v>
      </c>
      <c r="J10">
        <v>1.3</v>
      </c>
      <c r="K10">
        <v>87.13</v>
      </c>
      <c r="L10" t="s">
        <v>149</v>
      </c>
    </row>
    <row r="11" spans="1:12" x14ac:dyDescent="0.25">
      <c r="A11" t="s">
        <v>45</v>
      </c>
      <c r="B11" t="s">
        <v>150</v>
      </c>
      <c r="C11" t="s">
        <v>129</v>
      </c>
      <c r="D11" t="s">
        <v>130</v>
      </c>
      <c r="E11" t="s">
        <v>16</v>
      </c>
      <c r="F11">
        <v>70.769000000000005</v>
      </c>
      <c r="G11" t="s">
        <v>17</v>
      </c>
      <c r="J11">
        <v>1.3</v>
      </c>
      <c r="K11">
        <v>92</v>
      </c>
      <c r="L11" t="s">
        <v>44</v>
      </c>
    </row>
    <row r="12" spans="1:12" x14ac:dyDescent="0.25">
      <c r="A12" t="s">
        <v>45</v>
      </c>
      <c r="B12" t="s">
        <v>150</v>
      </c>
      <c r="C12" t="s">
        <v>129</v>
      </c>
      <c r="D12" t="s">
        <v>130</v>
      </c>
      <c r="E12" t="s">
        <v>151</v>
      </c>
      <c r="F12">
        <v>1</v>
      </c>
      <c r="G12" t="s">
        <v>152</v>
      </c>
      <c r="J12">
        <v>24.54</v>
      </c>
      <c r="K12">
        <v>24.54</v>
      </c>
      <c r="L12" t="s">
        <v>44</v>
      </c>
    </row>
    <row r="13" spans="1:12" x14ac:dyDescent="0.25">
      <c r="A13" t="s">
        <v>45</v>
      </c>
      <c r="B13" t="s">
        <v>140</v>
      </c>
      <c r="C13" t="s">
        <v>153</v>
      </c>
      <c r="D13" t="s">
        <v>154</v>
      </c>
      <c r="E13" t="s">
        <v>16</v>
      </c>
      <c r="F13">
        <v>52</v>
      </c>
      <c r="G13" t="s">
        <v>17</v>
      </c>
      <c r="J13">
        <v>1.3</v>
      </c>
      <c r="K13">
        <v>67.599999999999994</v>
      </c>
      <c r="L13" t="s">
        <v>155</v>
      </c>
    </row>
    <row r="14" spans="1:12" x14ac:dyDescent="0.25">
      <c r="A14" t="s">
        <v>45</v>
      </c>
      <c r="B14" t="s">
        <v>140</v>
      </c>
      <c r="C14" t="s">
        <v>120</v>
      </c>
      <c r="D14" t="s">
        <v>121</v>
      </c>
      <c r="E14" t="s">
        <v>16</v>
      </c>
      <c r="F14">
        <v>49.008000000000003</v>
      </c>
      <c r="G14" t="s">
        <v>17</v>
      </c>
      <c r="J14">
        <v>1.3</v>
      </c>
      <c r="K14">
        <v>63.71</v>
      </c>
      <c r="L14" t="s">
        <v>156</v>
      </c>
    </row>
    <row r="15" spans="1:12" x14ac:dyDescent="0.25">
      <c r="A15" t="s">
        <v>45</v>
      </c>
      <c r="B15" t="s">
        <v>140</v>
      </c>
      <c r="C15" t="s">
        <v>157</v>
      </c>
      <c r="D15" t="s">
        <v>158</v>
      </c>
      <c r="E15" t="s">
        <v>16</v>
      </c>
      <c r="F15">
        <v>53.8539999999999</v>
      </c>
      <c r="G15" t="s">
        <v>17</v>
      </c>
      <c r="J15">
        <v>1.3</v>
      </c>
      <c r="K15">
        <v>70.010000000000005</v>
      </c>
      <c r="L15" t="s">
        <v>159</v>
      </c>
    </row>
    <row r="16" spans="1:12" x14ac:dyDescent="0.25">
      <c r="A16" t="s">
        <v>116</v>
      </c>
      <c r="B16" t="s">
        <v>160</v>
      </c>
      <c r="C16" t="s">
        <v>161</v>
      </c>
      <c r="D16" t="s">
        <v>162</v>
      </c>
      <c r="E16" t="s">
        <v>16</v>
      </c>
      <c r="F16">
        <v>41.686999999999898</v>
      </c>
      <c r="G16" t="s">
        <v>17</v>
      </c>
      <c r="J16">
        <v>1.31</v>
      </c>
      <c r="K16">
        <v>54.61</v>
      </c>
      <c r="L16" t="s">
        <v>163</v>
      </c>
    </row>
    <row r="17" spans="6:6" x14ac:dyDescent="0.25">
      <c r="F17" s="1">
        <f>SUM(F2:F11,F13:F16)</f>
        <v>865.34899999999959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2"/>
  <sheetViews>
    <sheetView workbookViewId="0">
      <selection activeCell="F12" sqref="F12"/>
    </sheetView>
  </sheetViews>
  <sheetFormatPr defaultRowHeight="15" x14ac:dyDescent="0.25"/>
  <cols>
    <col min="1" max="1" width="10.42578125" bestFit="1" customWidth="1"/>
    <col min="2" max="2" width="29.85546875" bestFit="1" customWidth="1"/>
    <col min="3" max="3" width="9.85546875" bestFit="1" customWidth="1"/>
    <col min="4" max="4" width="18.28515625" bestFit="1" customWidth="1"/>
    <col min="5" max="5" width="30.42578125" bestFit="1" customWidth="1"/>
    <col min="6" max="6" width="8" bestFit="1" customWidth="1"/>
    <col min="7" max="7" width="15.285156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127</v>
      </c>
      <c r="B2" t="s">
        <v>164</v>
      </c>
      <c r="C2" t="s">
        <v>165</v>
      </c>
      <c r="D2" t="s">
        <v>166</v>
      </c>
      <c r="E2" t="s">
        <v>65</v>
      </c>
      <c r="F2">
        <v>24</v>
      </c>
      <c r="G2" t="s">
        <v>17</v>
      </c>
      <c r="J2">
        <v>1.25</v>
      </c>
      <c r="K2">
        <v>30</v>
      </c>
      <c r="L2" t="s">
        <v>167</v>
      </c>
    </row>
    <row r="3" spans="1:12" x14ac:dyDescent="0.25">
      <c r="A3" t="s">
        <v>127</v>
      </c>
      <c r="B3" t="s">
        <v>146</v>
      </c>
      <c r="C3" t="s">
        <v>168</v>
      </c>
      <c r="D3" t="s">
        <v>169</v>
      </c>
      <c r="E3" t="s">
        <v>170</v>
      </c>
      <c r="F3">
        <v>25.981000000000002</v>
      </c>
      <c r="G3" t="s">
        <v>17</v>
      </c>
      <c r="J3">
        <v>1.55</v>
      </c>
      <c r="K3">
        <v>40.270000000000003</v>
      </c>
      <c r="L3" t="s">
        <v>171</v>
      </c>
    </row>
    <row r="4" spans="1:12" x14ac:dyDescent="0.25">
      <c r="A4" t="s">
        <v>38</v>
      </c>
      <c r="B4" t="s">
        <v>123</v>
      </c>
      <c r="C4" t="s">
        <v>172</v>
      </c>
      <c r="D4" t="s">
        <v>173</v>
      </c>
      <c r="E4" t="s">
        <v>174</v>
      </c>
      <c r="F4">
        <v>30.318000000000001</v>
      </c>
      <c r="G4" t="s">
        <v>17</v>
      </c>
      <c r="J4">
        <v>1.51</v>
      </c>
      <c r="K4">
        <v>45.78</v>
      </c>
      <c r="L4" t="s">
        <v>175</v>
      </c>
    </row>
    <row r="5" spans="1:12" x14ac:dyDescent="0.25">
      <c r="A5" t="s">
        <v>38</v>
      </c>
      <c r="B5" t="s">
        <v>176</v>
      </c>
      <c r="C5" t="s">
        <v>177</v>
      </c>
      <c r="D5" t="s">
        <v>178</v>
      </c>
      <c r="E5" t="s">
        <v>65</v>
      </c>
      <c r="F5">
        <v>18.102</v>
      </c>
      <c r="G5" t="s">
        <v>17</v>
      </c>
      <c r="J5">
        <v>1.27</v>
      </c>
      <c r="K5">
        <v>22.99</v>
      </c>
      <c r="L5" t="s">
        <v>179</v>
      </c>
    </row>
    <row r="6" spans="1:12" x14ac:dyDescent="0.25">
      <c r="A6" t="s">
        <v>180</v>
      </c>
      <c r="B6" t="s">
        <v>181</v>
      </c>
      <c r="C6" t="s">
        <v>182</v>
      </c>
      <c r="D6" t="s">
        <v>183</v>
      </c>
      <c r="E6" t="s">
        <v>16</v>
      </c>
      <c r="F6">
        <v>39.279000000000003</v>
      </c>
      <c r="G6" t="s">
        <v>17</v>
      </c>
      <c r="J6">
        <v>1.29</v>
      </c>
      <c r="K6">
        <v>50.67</v>
      </c>
      <c r="L6" t="s">
        <v>184</v>
      </c>
    </row>
    <row r="7" spans="1:12" x14ac:dyDescent="0.25">
      <c r="A7" t="s">
        <v>180</v>
      </c>
      <c r="B7" t="s">
        <v>181</v>
      </c>
      <c r="C7" t="s">
        <v>182</v>
      </c>
      <c r="D7" t="s">
        <v>183</v>
      </c>
      <c r="E7" t="s">
        <v>185</v>
      </c>
      <c r="F7">
        <v>1</v>
      </c>
      <c r="G7" t="s">
        <v>152</v>
      </c>
      <c r="J7">
        <v>7.92</v>
      </c>
      <c r="K7">
        <v>7.92</v>
      </c>
      <c r="L7" t="s">
        <v>184</v>
      </c>
    </row>
    <row r="8" spans="1:12" x14ac:dyDescent="0.25">
      <c r="A8" t="s">
        <v>186</v>
      </c>
      <c r="B8" t="s">
        <v>140</v>
      </c>
      <c r="C8" t="s">
        <v>187</v>
      </c>
      <c r="D8" t="s">
        <v>188</v>
      </c>
      <c r="E8" t="s">
        <v>170</v>
      </c>
      <c r="F8">
        <v>27.558</v>
      </c>
      <c r="G8" t="s">
        <v>17</v>
      </c>
      <c r="J8">
        <v>1.54</v>
      </c>
      <c r="K8">
        <v>42.44</v>
      </c>
      <c r="L8" t="s">
        <v>189</v>
      </c>
    </row>
    <row r="9" spans="1:12" x14ac:dyDescent="0.25">
      <c r="A9" t="s">
        <v>45</v>
      </c>
      <c r="B9" t="s">
        <v>190</v>
      </c>
      <c r="C9" t="s">
        <v>191</v>
      </c>
      <c r="D9" t="s">
        <v>192</v>
      </c>
      <c r="E9" t="s">
        <v>174</v>
      </c>
      <c r="F9">
        <v>31</v>
      </c>
      <c r="G9" t="s">
        <v>17</v>
      </c>
      <c r="J9">
        <v>1.5</v>
      </c>
      <c r="K9">
        <v>46.5</v>
      </c>
      <c r="L9" t="s">
        <v>193</v>
      </c>
    </row>
    <row r="10" spans="1:12" x14ac:dyDescent="0.25">
      <c r="A10" t="s">
        <v>45</v>
      </c>
      <c r="B10" t="s">
        <v>146</v>
      </c>
      <c r="C10" t="s">
        <v>177</v>
      </c>
      <c r="D10" t="s">
        <v>178</v>
      </c>
      <c r="E10" t="s">
        <v>65</v>
      </c>
      <c r="F10">
        <v>26.2579999999999</v>
      </c>
      <c r="G10" t="s">
        <v>17</v>
      </c>
      <c r="J10">
        <v>1.28</v>
      </c>
      <c r="K10">
        <v>33.61</v>
      </c>
      <c r="L10" t="s">
        <v>111</v>
      </c>
    </row>
    <row r="11" spans="1:12" x14ac:dyDescent="0.25">
      <c r="A11" t="s">
        <v>116</v>
      </c>
      <c r="B11" t="s">
        <v>132</v>
      </c>
      <c r="C11" t="s">
        <v>172</v>
      </c>
      <c r="D11" t="s">
        <v>173</v>
      </c>
      <c r="E11" t="s">
        <v>174</v>
      </c>
      <c r="F11">
        <v>52.9119999999999</v>
      </c>
      <c r="G11" t="s">
        <v>17</v>
      </c>
      <c r="J11">
        <v>1.48</v>
      </c>
      <c r="K11">
        <v>78.31</v>
      </c>
      <c r="L11" t="s">
        <v>194</v>
      </c>
    </row>
    <row r="12" spans="1:12" x14ac:dyDescent="0.25">
      <c r="F12" s="1">
        <f>SUM(F2:F6,F8:F11)</f>
        <v>275.40799999999979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7"/>
  <sheetViews>
    <sheetView workbookViewId="0">
      <selection activeCell="F17" sqref="F17"/>
    </sheetView>
  </sheetViews>
  <sheetFormatPr defaultRowHeight="15" x14ac:dyDescent="0.25"/>
  <cols>
    <col min="1" max="1" width="10.42578125" bestFit="1" customWidth="1"/>
    <col min="2" max="2" width="25.7109375" bestFit="1" customWidth="1"/>
    <col min="3" max="3" width="8.5703125" bestFit="1" customWidth="1"/>
    <col min="4" max="4" width="18.28515625" bestFit="1" customWidth="1"/>
    <col min="5" max="5" width="16.42578125" bestFit="1" customWidth="1"/>
    <col min="6" max="6" width="9" bestFit="1" customWidth="1"/>
    <col min="7" max="7" width="15.285156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195</v>
      </c>
      <c r="B2" t="s">
        <v>52</v>
      </c>
      <c r="C2" t="s">
        <v>196</v>
      </c>
      <c r="D2" t="s">
        <v>197</v>
      </c>
      <c r="E2" t="s">
        <v>16</v>
      </c>
      <c r="F2">
        <v>52.273000000000003</v>
      </c>
      <c r="G2" t="s">
        <v>17</v>
      </c>
      <c r="J2">
        <v>1.28</v>
      </c>
      <c r="K2">
        <v>66.91</v>
      </c>
      <c r="L2" t="s">
        <v>198</v>
      </c>
    </row>
    <row r="3" spans="1:12" x14ac:dyDescent="0.25">
      <c r="A3" t="s">
        <v>19</v>
      </c>
      <c r="B3" t="s">
        <v>72</v>
      </c>
      <c r="C3" t="s">
        <v>199</v>
      </c>
      <c r="D3" t="s">
        <v>200</v>
      </c>
      <c r="E3" t="s">
        <v>16</v>
      </c>
      <c r="F3">
        <v>370</v>
      </c>
      <c r="G3" t="s">
        <v>17</v>
      </c>
      <c r="J3">
        <v>1.28</v>
      </c>
      <c r="K3">
        <v>473.6</v>
      </c>
      <c r="L3" t="s">
        <v>201</v>
      </c>
    </row>
    <row r="4" spans="1:12" x14ac:dyDescent="0.25">
      <c r="A4" t="s">
        <v>57</v>
      </c>
      <c r="B4" t="s">
        <v>72</v>
      </c>
      <c r="C4" t="s">
        <v>196</v>
      </c>
      <c r="D4" t="s">
        <v>197</v>
      </c>
      <c r="E4" t="s">
        <v>16</v>
      </c>
      <c r="F4">
        <v>29.109000000000002</v>
      </c>
      <c r="G4" t="s">
        <v>17</v>
      </c>
      <c r="J4">
        <v>1.28</v>
      </c>
      <c r="K4">
        <v>37.26</v>
      </c>
      <c r="L4" t="s">
        <v>202</v>
      </c>
    </row>
    <row r="5" spans="1:12" x14ac:dyDescent="0.25">
      <c r="A5" t="s">
        <v>57</v>
      </c>
      <c r="B5" t="s">
        <v>72</v>
      </c>
      <c r="C5" t="s">
        <v>199</v>
      </c>
      <c r="D5" t="s">
        <v>200</v>
      </c>
      <c r="E5" t="s">
        <v>16</v>
      </c>
      <c r="F5">
        <v>330</v>
      </c>
      <c r="G5" t="s">
        <v>17</v>
      </c>
      <c r="J5">
        <v>1.28</v>
      </c>
      <c r="K5">
        <v>422.4</v>
      </c>
      <c r="L5" t="s">
        <v>203</v>
      </c>
    </row>
    <row r="6" spans="1:12" x14ac:dyDescent="0.25">
      <c r="A6" t="s">
        <v>76</v>
      </c>
      <c r="B6" t="s">
        <v>72</v>
      </c>
      <c r="C6" t="s">
        <v>196</v>
      </c>
      <c r="D6" t="s">
        <v>197</v>
      </c>
      <c r="E6" t="s">
        <v>16</v>
      </c>
      <c r="F6">
        <v>459.68799999999902</v>
      </c>
      <c r="G6" t="s">
        <v>17</v>
      </c>
      <c r="J6">
        <v>1.28</v>
      </c>
      <c r="K6">
        <v>588.4</v>
      </c>
      <c r="L6" t="s">
        <v>204</v>
      </c>
    </row>
    <row r="7" spans="1:12" x14ac:dyDescent="0.25">
      <c r="A7" t="s">
        <v>24</v>
      </c>
      <c r="B7" t="s">
        <v>72</v>
      </c>
      <c r="C7" t="s">
        <v>199</v>
      </c>
      <c r="D7" t="s">
        <v>200</v>
      </c>
      <c r="E7" t="s">
        <v>16</v>
      </c>
      <c r="F7">
        <v>390</v>
      </c>
      <c r="G7" t="s">
        <v>17</v>
      </c>
      <c r="J7">
        <v>1.28</v>
      </c>
      <c r="K7">
        <v>499.2</v>
      </c>
      <c r="L7" t="s">
        <v>205</v>
      </c>
    </row>
    <row r="8" spans="1:12" x14ac:dyDescent="0.25">
      <c r="A8" t="s">
        <v>32</v>
      </c>
      <c r="B8" t="s">
        <v>72</v>
      </c>
      <c r="C8" t="s">
        <v>196</v>
      </c>
      <c r="D8" t="s">
        <v>197</v>
      </c>
      <c r="E8" t="s">
        <v>16</v>
      </c>
      <c r="F8">
        <v>49.390999999999899</v>
      </c>
      <c r="G8" t="s">
        <v>17</v>
      </c>
      <c r="J8">
        <v>1.28</v>
      </c>
      <c r="K8">
        <v>63.22</v>
      </c>
      <c r="L8" t="s">
        <v>206</v>
      </c>
    </row>
    <row r="9" spans="1:12" x14ac:dyDescent="0.25">
      <c r="A9" t="s">
        <v>81</v>
      </c>
      <c r="B9" t="s">
        <v>87</v>
      </c>
      <c r="C9" t="s">
        <v>196</v>
      </c>
      <c r="D9" t="s">
        <v>197</v>
      </c>
      <c r="E9" t="s">
        <v>16</v>
      </c>
      <c r="F9">
        <v>47.692</v>
      </c>
      <c r="G9" t="s">
        <v>17</v>
      </c>
      <c r="J9">
        <v>1.3</v>
      </c>
      <c r="K9">
        <v>62</v>
      </c>
      <c r="L9" t="s">
        <v>207</v>
      </c>
    </row>
    <row r="10" spans="1:12" x14ac:dyDescent="0.25">
      <c r="A10" t="s">
        <v>85</v>
      </c>
      <c r="B10" t="s">
        <v>72</v>
      </c>
      <c r="C10" t="s">
        <v>199</v>
      </c>
      <c r="D10" t="s">
        <v>200</v>
      </c>
      <c r="E10" t="s">
        <v>16</v>
      </c>
      <c r="F10">
        <v>430</v>
      </c>
      <c r="G10" t="s">
        <v>17</v>
      </c>
      <c r="J10">
        <v>1.28</v>
      </c>
      <c r="K10">
        <v>550.4</v>
      </c>
      <c r="L10" t="s">
        <v>208</v>
      </c>
    </row>
    <row r="11" spans="1:12" x14ac:dyDescent="0.25">
      <c r="A11" t="s">
        <v>180</v>
      </c>
      <c r="B11" t="s">
        <v>72</v>
      </c>
      <c r="C11" t="s">
        <v>196</v>
      </c>
      <c r="D11" t="s">
        <v>197</v>
      </c>
      <c r="E11" t="s">
        <v>16</v>
      </c>
      <c r="F11">
        <v>434.30200000000002</v>
      </c>
      <c r="G11" t="s">
        <v>17</v>
      </c>
      <c r="J11">
        <v>1.29</v>
      </c>
      <c r="K11">
        <v>560.25</v>
      </c>
      <c r="L11" t="s">
        <v>209</v>
      </c>
    </row>
    <row r="12" spans="1:12" x14ac:dyDescent="0.25">
      <c r="A12" t="s">
        <v>180</v>
      </c>
      <c r="B12" t="s">
        <v>52</v>
      </c>
      <c r="C12" t="s">
        <v>196</v>
      </c>
      <c r="D12" t="s">
        <v>197</v>
      </c>
      <c r="E12" t="s">
        <v>16</v>
      </c>
      <c r="F12">
        <v>50.612000000000002</v>
      </c>
      <c r="G12" t="s">
        <v>17</v>
      </c>
      <c r="J12">
        <v>1.29</v>
      </c>
      <c r="K12">
        <v>65.290000000000006</v>
      </c>
      <c r="L12" t="s">
        <v>210</v>
      </c>
    </row>
    <row r="13" spans="1:12" x14ac:dyDescent="0.25">
      <c r="A13" t="s">
        <v>101</v>
      </c>
      <c r="B13" t="s">
        <v>72</v>
      </c>
      <c r="C13" t="s">
        <v>199</v>
      </c>
      <c r="D13" t="s">
        <v>200</v>
      </c>
      <c r="E13" t="s">
        <v>16</v>
      </c>
      <c r="F13">
        <v>450</v>
      </c>
      <c r="G13" t="s">
        <v>17</v>
      </c>
      <c r="J13">
        <v>1.29</v>
      </c>
      <c r="K13">
        <v>580.5</v>
      </c>
      <c r="L13" t="s">
        <v>211</v>
      </c>
    </row>
    <row r="14" spans="1:12" x14ac:dyDescent="0.25">
      <c r="A14" t="s">
        <v>43</v>
      </c>
      <c r="B14" t="s">
        <v>72</v>
      </c>
      <c r="C14" t="s">
        <v>199</v>
      </c>
      <c r="D14" t="s">
        <v>200</v>
      </c>
      <c r="E14" t="s">
        <v>16</v>
      </c>
      <c r="F14">
        <v>370.02300000000002</v>
      </c>
      <c r="G14" t="s">
        <v>17</v>
      </c>
      <c r="J14">
        <v>1.3</v>
      </c>
      <c r="K14">
        <v>481.03</v>
      </c>
      <c r="L14" t="s">
        <v>212</v>
      </c>
    </row>
    <row r="15" spans="1:12" x14ac:dyDescent="0.25">
      <c r="A15" t="s">
        <v>43</v>
      </c>
      <c r="B15" t="s">
        <v>72</v>
      </c>
      <c r="C15" t="s">
        <v>196</v>
      </c>
      <c r="D15" t="s">
        <v>197</v>
      </c>
      <c r="E15" t="s">
        <v>16</v>
      </c>
      <c r="F15">
        <v>488.82299999999901</v>
      </c>
      <c r="G15" t="s">
        <v>17</v>
      </c>
      <c r="J15">
        <v>1.3</v>
      </c>
      <c r="K15">
        <v>635.47</v>
      </c>
      <c r="L15" t="s">
        <v>213</v>
      </c>
    </row>
    <row r="16" spans="1:12" x14ac:dyDescent="0.25">
      <c r="A16" t="s">
        <v>45</v>
      </c>
      <c r="B16" t="s">
        <v>72</v>
      </c>
      <c r="C16" t="s">
        <v>199</v>
      </c>
      <c r="D16" t="s">
        <v>200</v>
      </c>
      <c r="E16" t="s">
        <v>16</v>
      </c>
      <c r="F16">
        <v>470</v>
      </c>
      <c r="G16" t="s">
        <v>17</v>
      </c>
      <c r="J16">
        <v>1.3</v>
      </c>
      <c r="K16">
        <v>611</v>
      </c>
      <c r="L16" t="s">
        <v>214</v>
      </c>
    </row>
    <row r="17" spans="6:6" x14ac:dyDescent="0.25">
      <c r="F17" s="1">
        <f>SUM(F2:F16)</f>
        <v>4421.9129999999986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3"/>
  <sheetViews>
    <sheetView workbookViewId="0">
      <selection activeCell="F23" sqref="F23"/>
    </sheetView>
  </sheetViews>
  <sheetFormatPr defaultRowHeight="15" x14ac:dyDescent="0.25"/>
  <cols>
    <col min="1" max="1" width="10.42578125" bestFit="1" customWidth="1"/>
    <col min="2" max="2" width="27.140625" bestFit="1" customWidth="1"/>
    <col min="4" max="4" width="18.28515625" bestFit="1" customWidth="1"/>
    <col min="5" max="5" width="43.42578125" bestFit="1" customWidth="1"/>
    <col min="6" max="6" width="8" bestFit="1" customWidth="1"/>
    <col min="7" max="7" width="15.285156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68</v>
      </c>
      <c r="C2" t="s">
        <v>215</v>
      </c>
      <c r="D2" t="s">
        <v>216</v>
      </c>
      <c r="E2" t="s">
        <v>16</v>
      </c>
      <c r="F2">
        <v>64.039000000000001</v>
      </c>
      <c r="G2" t="s">
        <v>17</v>
      </c>
      <c r="J2">
        <v>1.28</v>
      </c>
      <c r="K2">
        <v>81.97</v>
      </c>
      <c r="L2" t="s">
        <v>217</v>
      </c>
    </row>
    <row r="3" spans="1:12" x14ac:dyDescent="0.25">
      <c r="A3" t="s">
        <v>12</v>
      </c>
      <c r="B3" t="s">
        <v>68</v>
      </c>
      <c r="C3" t="s">
        <v>215</v>
      </c>
      <c r="D3" t="s">
        <v>216</v>
      </c>
      <c r="E3" t="s">
        <v>185</v>
      </c>
      <c r="F3">
        <v>2</v>
      </c>
      <c r="G3" t="s">
        <v>152</v>
      </c>
      <c r="J3">
        <v>8.18</v>
      </c>
      <c r="K3">
        <v>16.36</v>
      </c>
      <c r="L3" t="s">
        <v>218</v>
      </c>
    </row>
    <row r="4" spans="1:12" x14ac:dyDescent="0.25">
      <c r="A4" t="s">
        <v>61</v>
      </c>
      <c r="B4" t="s">
        <v>72</v>
      </c>
      <c r="C4" t="s">
        <v>219</v>
      </c>
      <c r="D4" t="s">
        <v>220</v>
      </c>
      <c r="E4" t="s">
        <v>16</v>
      </c>
      <c r="F4">
        <v>78.546999999999898</v>
      </c>
      <c r="G4" t="s">
        <v>17</v>
      </c>
      <c r="J4">
        <v>1.28</v>
      </c>
      <c r="K4">
        <v>100.54</v>
      </c>
      <c r="L4" t="s">
        <v>221</v>
      </c>
    </row>
    <row r="5" spans="1:12" x14ac:dyDescent="0.25">
      <c r="A5" t="s">
        <v>61</v>
      </c>
      <c r="B5" t="s">
        <v>72</v>
      </c>
      <c r="C5" t="s">
        <v>219</v>
      </c>
      <c r="D5" t="s">
        <v>220</v>
      </c>
      <c r="E5" t="s">
        <v>222</v>
      </c>
      <c r="F5">
        <v>2</v>
      </c>
      <c r="G5" t="s">
        <v>152</v>
      </c>
      <c r="J5">
        <v>11.75</v>
      </c>
      <c r="K5">
        <v>23.5</v>
      </c>
      <c r="L5" t="s">
        <v>221</v>
      </c>
    </row>
    <row r="6" spans="1:12" x14ac:dyDescent="0.25">
      <c r="A6" t="s">
        <v>61</v>
      </c>
      <c r="B6" t="s">
        <v>52</v>
      </c>
      <c r="C6" t="s">
        <v>223</v>
      </c>
      <c r="D6" t="s">
        <v>224</v>
      </c>
      <c r="E6" t="s">
        <v>16</v>
      </c>
      <c r="F6">
        <v>41.241999999999898</v>
      </c>
      <c r="G6" t="s">
        <v>17</v>
      </c>
      <c r="J6">
        <v>1.28</v>
      </c>
      <c r="K6">
        <v>52.79</v>
      </c>
      <c r="L6" t="s">
        <v>225</v>
      </c>
    </row>
    <row r="7" spans="1:12" x14ac:dyDescent="0.25">
      <c r="A7" t="s">
        <v>61</v>
      </c>
      <c r="B7" t="s">
        <v>52</v>
      </c>
      <c r="C7" t="s">
        <v>223</v>
      </c>
      <c r="D7" t="s">
        <v>224</v>
      </c>
      <c r="E7" t="s">
        <v>226</v>
      </c>
      <c r="F7">
        <v>1</v>
      </c>
      <c r="G7" t="s">
        <v>152</v>
      </c>
      <c r="J7">
        <v>12.27</v>
      </c>
      <c r="K7">
        <v>12.27</v>
      </c>
      <c r="L7" t="s">
        <v>225</v>
      </c>
    </row>
    <row r="8" spans="1:12" x14ac:dyDescent="0.25">
      <c r="A8" t="s">
        <v>85</v>
      </c>
      <c r="B8" t="s">
        <v>72</v>
      </c>
      <c r="C8" t="s">
        <v>215</v>
      </c>
      <c r="D8" t="s">
        <v>216</v>
      </c>
      <c r="E8" t="s">
        <v>16</v>
      </c>
      <c r="F8">
        <v>74.671999999999898</v>
      </c>
      <c r="G8" t="s">
        <v>17</v>
      </c>
      <c r="J8">
        <v>1.28</v>
      </c>
      <c r="K8">
        <v>95.58</v>
      </c>
      <c r="L8" t="s">
        <v>55</v>
      </c>
    </row>
    <row r="9" spans="1:12" x14ac:dyDescent="0.25">
      <c r="A9" t="s">
        <v>85</v>
      </c>
      <c r="B9" t="s">
        <v>72</v>
      </c>
      <c r="C9" t="s">
        <v>215</v>
      </c>
      <c r="D9" t="s">
        <v>216</v>
      </c>
      <c r="E9" t="s">
        <v>222</v>
      </c>
      <c r="F9">
        <v>1</v>
      </c>
      <c r="G9" t="s">
        <v>152</v>
      </c>
      <c r="J9">
        <v>11.75</v>
      </c>
      <c r="K9">
        <v>11.75</v>
      </c>
      <c r="L9" t="s">
        <v>55</v>
      </c>
    </row>
    <row r="10" spans="1:12" x14ac:dyDescent="0.25">
      <c r="A10" t="s">
        <v>85</v>
      </c>
      <c r="B10" t="s">
        <v>227</v>
      </c>
      <c r="C10" t="s">
        <v>223</v>
      </c>
      <c r="D10" t="s">
        <v>224</v>
      </c>
      <c r="E10" t="s">
        <v>16</v>
      </c>
      <c r="F10">
        <v>37.512</v>
      </c>
      <c r="G10" t="s">
        <v>17</v>
      </c>
      <c r="J10">
        <v>1.27</v>
      </c>
      <c r="K10">
        <v>47.64</v>
      </c>
      <c r="L10" t="s">
        <v>228</v>
      </c>
    </row>
    <row r="11" spans="1:12" x14ac:dyDescent="0.25">
      <c r="A11" t="s">
        <v>118</v>
      </c>
      <c r="B11" t="s">
        <v>72</v>
      </c>
      <c r="C11" t="s">
        <v>219</v>
      </c>
      <c r="D11" t="s">
        <v>220</v>
      </c>
      <c r="E11" t="s">
        <v>16</v>
      </c>
      <c r="F11">
        <v>42.703000000000003</v>
      </c>
      <c r="G11" t="s">
        <v>17</v>
      </c>
      <c r="J11">
        <v>1.28</v>
      </c>
      <c r="K11">
        <v>54.66</v>
      </c>
      <c r="L11" t="s">
        <v>229</v>
      </c>
    </row>
    <row r="12" spans="1:12" x14ac:dyDescent="0.25">
      <c r="A12" t="s">
        <v>118</v>
      </c>
      <c r="B12" t="s">
        <v>72</v>
      </c>
      <c r="C12" t="s">
        <v>219</v>
      </c>
      <c r="D12" t="s">
        <v>220</v>
      </c>
      <c r="E12" t="s">
        <v>222</v>
      </c>
      <c r="F12">
        <v>1</v>
      </c>
      <c r="G12" t="s">
        <v>152</v>
      </c>
      <c r="J12">
        <v>11.75</v>
      </c>
      <c r="K12">
        <v>11.75</v>
      </c>
      <c r="L12" t="s">
        <v>229</v>
      </c>
    </row>
    <row r="13" spans="1:12" x14ac:dyDescent="0.25">
      <c r="A13" t="s">
        <v>36</v>
      </c>
      <c r="B13" t="s">
        <v>72</v>
      </c>
      <c r="C13" t="s">
        <v>230</v>
      </c>
      <c r="D13" t="s">
        <v>231</v>
      </c>
      <c r="E13" t="s">
        <v>16</v>
      </c>
      <c r="F13">
        <v>78.257999999999896</v>
      </c>
      <c r="G13" t="s">
        <v>17</v>
      </c>
      <c r="J13">
        <v>1.28</v>
      </c>
      <c r="K13">
        <v>100.17</v>
      </c>
      <c r="L13" t="s">
        <v>232</v>
      </c>
    </row>
    <row r="14" spans="1:12" x14ac:dyDescent="0.25">
      <c r="A14" t="s">
        <v>36</v>
      </c>
      <c r="B14" t="s">
        <v>72</v>
      </c>
      <c r="C14" t="s">
        <v>230</v>
      </c>
      <c r="D14" t="s">
        <v>231</v>
      </c>
      <c r="E14" t="s">
        <v>222</v>
      </c>
      <c r="F14">
        <v>2</v>
      </c>
      <c r="G14" t="s">
        <v>152</v>
      </c>
      <c r="J14">
        <v>11.75</v>
      </c>
      <c r="K14">
        <v>23.5</v>
      </c>
      <c r="L14" t="s">
        <v>232</v>
      </c>
    </row>
    <row r="15" spans="1:12" x14ac:dyDescent="0.25">
      <c r="A15" t="s">
        <v>38</v>
      </c>
      <c r="B15" t="s">
        <v>227</v>
      </c>
      <c r="C15" t="s">
        <v>223</v>
      </c>
      <c r="D15" t="s">
        <v>224</v>
      </c>
      <c r="E15" t="s">
        <v>16</v>
      </c>
      <c r="F15">
        <v>42.9759999999999</v>
      </c>
      <c r="G15" t="s">
        <v>17</v>
      </c>
      <c r="J15">
        <v>1.27</v>
      </c>
      <c r="K15">
        <v>54.58</v>
      </c>
      <c r="L15" t="s">
        <v>233</v>
      </c>
    </row>
    <row r="16" spans="1:12" x14ac:dyDescent="0.25">
      <c r="A16" t="s">
        <v>43</v>
      </c>
      <c r="B16" t="s">
        <v>72</v>
      </c>
      <c r="C16" t="s">
        <v>219</v>
      </c>
      <c r="D16" t="s">
        <v>220</v>
      </c>
      <c r="E16" t="s">
        <v>16</v>
      </c>
      <c r="F16">
        <v>65.923000000000002</v>
      </c>
      <c r="G16" t="s">
        <v>17</v>
      </c>
      <c r="J16">
        <v>1.3</v>
      </c>
      <c r="K16">
        <v>85.7</v>
      </c>
      <c r="L16" t="s">
        <v>234</v>
      </c>
    </row>
    <row r="17" spans="1:12" x14ac:dyDescent="0.25">
      <c r="A17" t="s">
        <v>43</v>
      </c>
      <c r="B17" t="s">
        <v>72</v>
      </c>
      <c r="C17" t="s">
        <v>219</v>
      </c>
      <c r="D17" t="s">
        <v>220</v>
      </c>
      <c r="E17" t="s">
        <v>222</v>
      </c>
      <c r="F17">
        <v>1</v>
      </c>
      <c r="G17" t="s">
        <v>152</v>
      </c>
      <c r="J17">
        <v>11.75</v>
      </c>
      <c r="K17">
        <v>11.75</v>
      </c>
      <c r="L17" t="s">
        <v>234</v>
      </c>
    </row>
    <row r="18" spans="1:12" x14ac:dyDescent="0.25">
      <c r="A18" t="s">
        <v>43</v>
      </c>
      <c r="B18" t="s">
        <v>227</v>
      </c>
      <c r="C18" t="s">
        <v>223</v>
      </c>
      <c r="D18" t="s">
        <v>224</v>
      </c>
      <c r="E18" t="s">
        <v>16</v>
      </c>
      <c r="F18">
        <v>33.534999999999897</v>
      </c>
      <c r="G18" t="s">
        <v>17</v>
      </c>
      <c r="J18">
        <v>1.29</v>
      </c>
      <c r="K18">
        <v>43.26</v>
      </c>
      <c r="L18" t="s">
        <v>235</v>
      </c>
    </row>
    <row r="19" spans="1:12" x14ac:dyDescent="0.25">
      <c r="A19" t="s">
        <v>45</v>
      </c>
      <c r="B19" t="s">
        <v>72</v>
      </c>
      <c r="C19" t="s">
        <v>236</v>
      </c>
      <c r="D19" t="s">
        <v>237</v>
      </c>
      <c r="E19" t="s">
        <v>16</v>
      </c>
      <c r="F19">
        <v>64.861999999999895</v>
      </c>
      <c r="G19" t="s">
        <v>17</v>
      </c>
      <c r="J19">
        <v>1.3</v>
      </c>
      <c r="K19">
        <v>84.32</v>
      </c>
      <c r="L19" t="s">
        <v>238</v>
      </c>
    </row>
    <row r="20" spans="1:12" x14ac:dyDescent="0.25">
      <c r="A20" t="s">
        <v>45</v>
      </c>
      <c r="B20" t="s">
        <v>72</v>
      </c>
      <c r="C20" t="s">
        <v>236</v>
      </c>
      <c r="D20" t="s">
        <v>237</v>
      </c>
      <c r="E20" t="s">
        <v>222</v>
      </c>
      <c r="F20">
        <v>2</v>
      </c>
      <c r="G20" t="s">
        <v>152</v>
      </c>
      <c r="J20">
        <v>11.75</v>
      </c>
      <c r="K20">
        <v>23.5</v>
      </c>
      <c r="L20" t="s">
        <v>238</v>
      </c>
    </row>
    <row r="21" spans="1:12" x14ac:dyDescent="0.25">
      <c r="A21" t="s">
        <v>45</v>
      </c>
      <c r="B21" t="s">
        <v>72</v>
      </c>
      <c r="C21" t="s">
        <v>215</v>
      </c>
      <c r="D21" t="s">
        <v>216</v>
      </c>
      <c r="E21" t="s">
        <v>16</v>
      </c>
      <c r="F21">
        <v>67.908000000000001</v>
      </c>
      <c r="G21" t="s">
        <v>17</v>
      </c>
      <c r="J21">
        <v>1.3</v>
      </c>
      <c r="K21">
        <v>88.28</v>
      </c>
      <c r="L21" t="s">
        <v>239</v>
      </c>
    </row>
    <row r="22" spans="1:12" x14ac:dyDescent="0.25">
      <c r="A22" t="s">
        <v>45</v>
      </c>
      <c r="B22" t="s">
        <v>72</v>
      </c>
      <c r="C22" t="s">
        <v>215</v>
      </c>
      <c r="D22" t="s">
        <v>216</v>
      </c>
      <c r="E22" t="s">
        <v>240</v>
      </c>
      <c r="F22">
        <v>1</v>
      </c>
      <c r="G22" t="s">
        <v>152</v>
      </c>
      <c r="J22">
        <v>5.36</v>
      </c>
      <c r="K22">
        <v>5.36</v>
      </c>
      <c r="L22" t="s">
        <v>239</v>
      </c>
    </row>
    <row r="23" spans="1:12" x14ac:dyDescent="0.25">
      <c r="F23" s="1">
        <f>SUM(F2,F4,F6,F8,F10:F11,F13,F15:F16,F18:F19,F21)</f>
        <v>692.17699999999923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"/>
  <sheetViews>
    <sheetView workbookViewId="0">
      <selection activeCell="K9" sqref="K9"/>
    </sheetView>
  </sheetViews>
  <sheetFormatPr defaultRowHeight="15" x14ac:dyDescent="0.25"/>
  <cols>
    <col min="1" max="1" width="10.42578125" bestFit="1" customWidth="1"/>
    <col min="2" max="2" width="22.8554687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241</v>
      </c>
      <c r="B2" t="s">
        <v>72</v>
      </c>
      <c r="C2" t="s">
        <v>242</v>
      </c>
      <c r="D2" t="s">
        <v>243</v>
      </c>
      <c r="E2" t="s">
        <v>65</v>
      </c>
      <c r="F2">
        <v>26.952000000000002</v>
      </c>
      <c r="G2" t="s">
        <v>17</v>
      </c>
      <c r="H2">
        <v>1.1599999999999999</v>
      </c>
      <c r="I2" s="2">
        <f>F2*H2</f>
        <v>31.264320000000001</v>
      </c>
      <c r="J2">
        <v>1.25</v>
      </c>
      <c r="K2">
        <v>33.69</v>
      </c>
      <c r="L2" t="s">
        <v>244</v>
      </c>
    </row>
    <row r="3" spans="1:12" x14ac:dyDescent="0.25">
      <c r="A3" t="s">
        <v>127</v>
      </c>
      <c r="B3" t="s">
        <v>68</v>
      </c>
      <c r="C3" t="s">
        <v>242</v>
      </c>
      <c r="D3" t="s">
        <v>243</v>
      </c>
      <c r="E3" t="s">
        <v>65</v>
      </c>
      <c r="F3">
        <v>27.832000000000001</v>
      </c>
      <c r="G3" t="s">
        <v>17</v>
      </c>
      <c r="H3">
        <v>1.1599999999999999</v>
      </c>
      <c r="I3" s="2">
        <f t="shared" ref="I3:I5" si="0">F3*H3</f>
        <v>32.285119999999999</v>
      </c>
      <c r="J3">
        <v>1.25</v>
      </c>
      <c r="K3">
        <v>34.79</v>
      </c>
      <c r="L3" t="s">
        <v>245</v>
      </c>
    </row>
    <row r="4" spans="1:12" x14ac:dyDescent="0.25">
      <c r="A4" t="s">
        <v>41</v>
      </c>
      <c r="B4" t="s">
        <v>246</v>
      </c>
      <c r="C4" t="s">
        <v>242</v>
      </c>
      <c r="D4" t="s">
        <v>243</v>
      </c>
      <c r="E4" t="s">
        <v>65</v>
      </c>
      <c r="F4">
        <v>27.527999999999899</v>
      </c>
      <c r="G4" t="s">
        <v>17</v>
      </c>
      <c r="H4">
        <v>1.17</v>
      </c>
      <c r="I4" s="2">
        <f t="shared" si="0"/>
        <v>32.20775999999988</v>
      </c>
      <c r="J4">
        <v>1.25</v>
      </c>
      <c r="K4">
        <v>34.409999999999997</v>
      </c>
      <c r="L4" t="s">
        <v>247</v>
      </c>
    </row>
    <row r="5" spans="1:12" x14ac:dyDescent="0.25">
      <c r="A5" t="s">
        <v>45</v>
      </c>
      <c r="B5" t="s">
        <v>99</v>
      </c>
      <c r="C5" t="s">
        <v>248</v>
      </c>
      <c r="D5" t="s">
        <v>249</v>
      </c>
      <c r="E5" t="s">
        <v>65</v>
      </c>
      <c r="F5">
        <v>48.405000000000001</v>
      </c>
      <c r="G5" t="s">
        <v>17</v>
      </c>
      <c r="H5">
        <v>1.17</v>
      </c>
      <c r="I5" s="2">
        <f t="shared" si="0"/>
        <v>56.633849999999995</v>
      </c>
      <c r="J5">
        <v>1.26</v>
      </c>
      <c r="K5">
        <v>60.99</v>
      </c>
      <c r="L5" t="s">
        <v>250</v>
      </c>
    </row>
    <row r="6" spans="1:12" x14ac:dyDescent="0.25">
      <c r="F6" s="1">
        <f>SUM(F2:F5)</f>
        <v>130.7169999999999</v>
      </c>
      <c r="I6" s="3">
        <f>SUM(I2:I5)</f>
        <v>152.39104999999989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0"/>
  <sheetViews>
    <sheetView workbookViewId="0">
      <selection activeCell="F10" sqref="F10"/>
    </sheetView>
  </sheetViews>
  <sheetFormatPr defaultRowHeight="15" x14ac:dyDescent="0.25"/>
  <cols>
    <col min="1" max="1" width="10.42578125" bestFit="1" customWidth="1"/>
    <col min="2" max="2" width="25.7109375" bestFit="1" customWidth="1"/>
    <col min="4" max="4" width="18.28515625" bestFit="1" customWidth="1"/>
    <col min="5" max="5" width="16.42578125" bestFit="1" customWidth="1"/>
    <col min="6" max="6" width="8" bestFit="1" customWidth="1"/>
    <col min="7" max="7" width="15.285156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195</v>
      </c>
      <c r="B2" t="s">
        <v>72</v>
      </c>
      <c r="C2" t="s">
        <v>251</v>
      </c>
      <c r="D2" t="s">
        <v>252</v>
      </c>
      <c r="E2" t="s">
        <v>16</v>
      </c>
      <c r="F2">
        <v>61</v>
      </c>
      <c r="G2" t="s">
        <v>17</v>
      </c>
      <c r="J2">
        <v>1.28</v>
      </c>
      <c r="K2">
        <v>78.08</v>
      </c>
      <c r="L2" t="s">
        <v>232</v>
      </c>
    </row>
    <row r="3" spans="1:12" x14ac:dyDescent="0.25">
      <c r="A3" t="s">
        <v>195</v>
      </c>
      <c r="B3" t="s">
        <v>72</v>
      </c>
      <c r="C3" t="s">
        <v>253</v>
      </c>
      <c r="D3" t="s">
        <v>254</v>
      </c>
      <c r="E3" t="s">
        <v>16</v>
      </c>
      <c r="F3">
        <v>135</v>
      </c>
      <c r="G3" t="s">
        <v>17</v>
      </c>
      <c r="J3">
        <v>1.28</v>
      </c>
      <c r="K3">
        <v>172.8</v>
      </c>
      <c r="L3" t="s">
        <v>255</v>
      </c>
    </row>
    <row r="4" spans="1:12" x14ac:dyDescent="0.25">
      <c r="A4" t="s">
        <v>24</v>
      </c>
      <c r="B4" t="s">
        <v>72</v>
      </c>
      <c r="C4" t="s">
        <v>251</v>
      </c>
      <c r="D4" t="s">
        <v>252</v>
      </c>
      <c r="E4" t="s">
        <v>16</v>
      </c>
      <c r="F4">
        <v>61.796999999999898</v>
      </c>
      <c r="G4" t="s">
        <v>17</v>
      </c>
      <c r="J4">
        <v>1.28</v>
      </c>
      <c r="K4">
        <v>79.099999999999994</v>
      </c>
      <c r="L4" t="s">
        <v>256</v>
      </c>
    </row>
    <row r="5" spans="1:12" x14ac:dyDescent="0.25">
      <c r="A5" t="s">
        <v>28</v>
      </c>
      <c r="B5" t="s">
        <v>52</v>
      </c>
      <c r="C5" t="s">
        <v>253</v>
      </c>
      <c r="D5" t="s">
        <v>254</v>
      </c>
      <c r="E5" t="s">
        <v>16</v>
      </c>
      <c r="F5">
        <v>152</v>
      </c>
      <c r="G5" t="s">
        <v>17</v>
      </c>
      <c r="J5">
        <v>1.28</v>
      </c>
      <c r="K5">
        <v>194.56</v>
      </c>
      <c r="L5" t="s">
        <v>110</v>
      </c>
    </row>
    <row r="6" spans="1:12" x14ac:dyDescent="0.25">
      <c r="A6" t="s">
        <v>36</v>
      </c>
      <c r="B6" t="s">
        <v>72</v>
      </c>
      <c r="C6" t="s">
        <v>251</v>
      </c>
      <c r="D6" t="s">
        <v>252</v>
      </c>
      <c r="E6" t="s">
        <v>16</v>
      </c>
      <c r="F6">
        <v>33</v>
      </c>
      <c r="G6" t="s">
        <v>17</v>
      </c>
      <c r="J6">
        <v>1.28</v>
      </c>
      <c r="K6">
        <v>42.24</v>
      </c>
      <c r="L6" t="s">
        <v>257</v>
      </c>
    </row>
    <row r="7" spans="1:12" x14ac:dyDescent="0.25">
      <c r="A7" t="s">
        <v>127</v>
      </c>
      <c r="B7" t="s">
        <v>52</v>
      </c>
      <c r="C7" t="s">
        <v>253</v>
      </c>
      <c r="D7" t="s">
        <v>254</v>
      </c>
      <c r="E7" t="s">
        <v>16</v>
      </c>
      <c r="F7">
        <v>64</v>
      </c>
      <c r="G7" t="s">
        <v>17</v>
      </c>
      <c r="J7">
        <v>1.28</v>
      </c>
      <c r="K7">
        <v>81.92</v>
      </c>
      <c r="L7" t="s">
        <v>258</v>
      </c>
    </row>
    <row r="8" spans="1:12" x14ac:dyDescent="0.25">
      <c r="A8" t="s">
        <v>186</v>
      </c>
      <c r="B8" t="s">
        <v>72</v>
      </c>
      <c r="C8" t="s">
        <v>251</v>
      </c>
      <c r="D8" t="s">
        <v>252</v>
      </c>
      <c r="E8" t="s">
        <v>16</v>
      </c>
      <c r="F8">
        <v>66</v>
      </c>
      <c r="G8" t="s">
        <v>17</v>
      </c>
      <c r="J8">
        <v>1.29</v>
      </c>
      <c r="K8">
        <v>85.14</v>
      </c>
      <c r="L8" t="s">
        <v>44</v>
      </c>
    </row>
    <row r="9" spans="1:12" x14ac:dyDescent="0.25">
      <c r="A9" t="s">
        <v>91</v>
      </c>
      <c r="B9" t="s">
        <v>72</v>
      </c>
      <c r="C9" t="s">
        <v>253</v>
      </c>
      <c r="D9" t="s">
        <v>254</v>
      </c>
      <c r="E9" t="s">
        <v>16</v>
      </c>
      <c r="F9">
        <v>166</v>
      </c>
      <c r="G9" t="s">
        <v>17</v>
      </c>
      <c r="J9">
        <v>1.3</v>
      </c>
      <c r="K9">
        <v>215.8</v>
      </c>
      <c r="L9" t="s">
        <v>259</v>
      </c>
    </row>
    <row r="10" spans="1:12" x14ac:dyDescent="0.25">
      <c r="F10" s="1">
        <f>SUM(F2:F9)</f>
        <v>738.79699999999991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"/>
  <sheetViews>
    <sheetView workbookViewId="0"/>
  </sheetViews>
  <sheetFormatPr defaultRowHeight="15" x14ac:dyDescent="0.25"/>
  <cols>
    <col min="1" max="1" width="10.42578125" bestFit="1" customWidth="1"/>
    <col min="2" max="2" width="18.5703125" bestFit="1" customWidth="1"/>
    <col min="3" max="3" width="8.42578125" bestFit="1" customWidth="1"/>
    <col min="4" max="4" width="18.28515625" bestFit="1" customWidth="1"/>
    <col min="5" max="5" width="16.42578125" bestFit="1" customWidth="1"/>
    <col min="7" max="7" width="15.285156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91</v>
      </c>
      <c r="B2" t="s">
        <v>260</v>
      </c>
      <c r="C2" t="s">
        <v>261</v>
      </c>
      <c r="D2" t="s">
        <v>262</v>
      </c>
      <c r="E2" t="s">
        <v>16</v>
      </c>
      <c r="F2">
        <v>200.00800000000001</v>
      </c>
      <c r="G2" t="s">
        <v>17</v>
      </c>
      <c r="J2">
        <v>1.3</v>
      </c>
      <c r="K2">
        <v>260.01</v>
      </c>
      <c r="L2" t="s">
        <v>263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5"/>
  <sheetViews>
    <sheetView topLeftCell="A7" workbookViewId="0">
      <selection activeCell="F25" sqref="F25"/>
    </sheetView>
  </sheetViews>
  <sheetFormatPr defaultRowHeight="15" x14ac:dyDescent="0.25"/>
  <cols>
    <col min="1" max="1" width="10.42578125" bestFit="1" customWidth="1"/>
    <col min="2" max="2" width="22.85546875" bestFit="1" customWidth="1"/>
    <col min="3" max="3" width="8.7109375" bestFit="1" customWidth="1"/>
    <col min="4" max="4" width="18.28515625" bestFit="1" customWidth="1"/>
    <col min="5" max="5" width="16.42578125" bestFit="1" customWidth="1"/>
    <col min="7" max="7" width="15.28515625" bestFit="1" customWidth="1"/>
    <col min="8" max="8" width="9.425781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264</v>
      </c>
      <c r="B2" t="s">
        <v>72</v>
      </c>
      <c r="C2" t="s">
        <v>265</v>
      </c>
      <c r="D2" t="s">
        <v>266</v>
      </c>
      <c r="E2" t="s">
        <v>16</v>
      </c>
      <c r="F2">
        <v>37.703000000000003</v>
      </c>
      <c r="G2" t="s">
        <v>17</v>
      </c>
      <c r="J2">
        <v>1.28</v>
      </c>
      <c r="K2">
        <v>48.26</v>
      </c>
      <c r="L2" t="s">
        <v>267</v>
      </c>
    </row>
    <row r="3" spans="1:12" x14ac:dyDescent="0.25">
      <c r="A3" t="s">
        <v>264</v>
      </c>
      <c r="B3" t="s">
        <v>268</v>
      </c>
      <c r="C3" t="s">
        <v>265</v>
      </c>
      <c r="D3" t="s">
        <v>266</v>
      </c>
      <c r="E3" t="s">
        <v>16</v>
      </c>
      <c r="F3">
        <v>15.227</v>
      </c>
      <c r="G3" t="s">
        <v>17</v>
      </c>
      <c r="J3">
        <v>1.28</v>
      </c>
      <c r="K3">
        <v>19.489999999999998</v>
      </c>
      <c r="L3" t="s">
        <v>35</v>
      </c>
    </row>
    <row r="4" spans="1:12" x14ac:dyDescent="0.25">
      <c r="A4" t="s">
        <v>195</v>
      </c>
      <c r="B4" t="s">
        <v>72</v>
      </c>
      <c r="C4" t="s">
        <v>269</v>
      </c>
      <c r="D4" t="s">
        <v>270</v>
      </c>
      <c r="E4" t="s">
        <v>16</v>
      </c>
      <c r="F4">
        <v>48.719000000000001</v>
      </c>
      <c r="G4" t="s">
        <v>17</v>
      </c>
      <c r="J4">
        <v>1.28</v>
      </c>
      <c r="K4">
        <v>62.36</v>
      </c>
      <c r="L4" t="s">
        <v>271</v>
      </c>
    </row>
    <row r="5" spans="1:12" x14ac:dyDescent="0.25">
      <c r="A5" t="s">
        <v>195</v>
      </c>
      <c r="B5" t="s">
        <v>79</v>
      </c>
      <c r="C5" t="s">
        <v>272</v>
      </c>
      <c r="D5" t="s">
        <v>273</v>
      </c>
      <c r="E5" t="s">
        <v>16</v>
      </c>
      <c r="F5">
        <v>34.976999999999897</v>
      </c>
      <c r="G5" t="s">
        <v>17</v>
      </c>
      <c r="J5">
        <v>1.28</v>
      </c>
      <c r="K5">
        <v>44.77</v>
      </c>
      <c r="L5" t="s">
        <v>274</v>
      </c>
    </row>
    <row r="6" spans="1:12" x14ac:dyDescent="0.25">
      <c r="A6" t="s">
        <v>51</v>
      </c>
      <c r="B6" t="s">
        <v>72</v>
      </c>
      <c r="C6" t="s">
        <v>275</v>
      </c>
      <c r="D6" t="s">
        <v>276</v>
      </c>
      <c r="E6" t="s">
        <v>16</v>
      </c>
      <c r="F6">
        <v>55.655999999999899</v>
      </c>
      <c r="G6" t="s">
        <v>17</v>
      </c>
      <c r="J6">
        <v>1.28</v>
      </c>
      <c r="K6">
        <v>71.239999999999995</v>
      </c>
      <c r="L6" t="s">
        <v>277</v>
      </c>
    </row>
    <row r="7" spans="1:12" x14ac:dyDescent="0.25">
      <c r="A7" t="s">
        <v>19</v>
      </c>
      <c r="B7" t="s">
        <v>99</v>
      </c>
      <c r="C7" t="s">
        <v>272</v>
      </c>
      <c r="D7" t="s">
        <v>273</v>
      </c>
      <c r="E7" t="s">
        <v>16</v>
      </c>
      <c r="F7">
        <v>23.437999999999899</v>
      </c>
      <c r="G7" t="s">
        <v>17</v>
      </c>
      <c r="J7">
        <v>1.28</v>
      </c>
      <c r="K7">
        <v>30</v>
      </c>
      <c r="L7" t="s">
        <v>278</v>
      </c>
    </row>
    <row r="8" spans="1:12" x14ac:dyDescent="0.25">
      <c r="A8" t="s">
        <v>61</v>
      </c>
      <c r="B8" t="s">
        <v>68</v>
      </c>
      <c r="C8" t="s">
        <v>269</v>
      </c>
      <c r="D8" t="s">
        <v>270</v>
      </c>
      <c r="E8" t="s">
        <v>16</v>
      </c>
      <c r="F8">
        <v>20</v>
      </c>
      <c r="G8" t="s">
        <v>17</v>
      </c>
      <c r="J8">
        <v>1.28</v>
      </c>
      <c r="K8">
        <v>25.6</v>
      </c>
      <c r="L8" t="s">
        <v>279</v>
      </c>
    </row>
    <row r="9" spans="1:12" x14ac:dyDescent="0.25">
      <c r="A9" t="s">
        <v>61</v>
      </c>
      <c r="B9" t="s">
        <v>72</v>
      </c>
      <c r="C9" t="s">
        <v>275</v>
      </c>
      <c r="D9" t="s">
        <v>276</v>
      </c>
      <c r="E9" t="s">
        <v>16</v>
      </c>
      <c r="F9">
        <v>48.008000000000003</v>
      </c>
      <c r="G9" t="s">
        <v>17</v>
      </c>
      <c r="J9">
        <v>1.28</v>
      </c>
      <c r="K9">
        <v>61.45</v>
      </c>
      <c r="L9" t="s">
        <v>280</v>
      </c>
    </row>
    <row r="10" spans="1:12" x14ac:dyDescent="0.25">
      <c r="A10" t="s">
        <v>57</v>
      </c>
      <c r="B10" t="s">
        <v>72</v>
      </c>
      <c r="C10" t="s">
        <v>265</v>
      </c>
      <c r="D10" t="s">
        <v>266</v>
      </c>
      <c r="E10" t="s">
        <v>16</v>
      </c>
      <c r="F10">
        <v>38.383000000000003</v>
      </c>
      <c r="G10" t="s">
        <v>17</v>
      </c>
      <c r="J10">
        <v>1.28</v>
      </c>
      <c r="K10">
        <v>49.13</v>
      </c>
      <c r="L10" t="s">
        <v>281</v>
      </c>
    </row>
    <row r="11" spans="1:12" x14ac:dyDescent="0.25">
      <c r="A11" t="s">
        <v>57</v>
      </c>
      <c r="B11" t="s">
        <v>99</v>
      </c>
      <c r="C11" t="s">
        <v>272</v>
      </c>
      <c r="D11" t="s">
        <v>273</v>
      </c>
      <c r="E11" t="s">
        <v>16</v>
      </c>
      <c r="F11">
        <v>41.171999999999898</v>
      </c>
      <c r="G11" t="s">
        <v>17</v>
      </c>
      <c r="J11">
        <v>1.28</v>
      </c>
      <c r="K11">
        <v>52.7</v>
      </c>
      <c r="L11" t="s">
        <v>282</v>
      </c>
    </row>
    <row r="12" spans="1:12" x14ac:dyDescent="0.25">
      <c r="A12" t="s">
        <v>24</v>
      </c>
      <c r="B12" t="s">
        <v>72</v>
      </c>
      <c r="C12" t="s">
        <v>275</v>
      </c>
      <c r="D12" t="s">
        <v>276</v>
      </c>
      <c r="E12" t="s">
        <v>16</v>
      </c>
      <c r="F12">
        <v>50.023000000000003</v>
      </c>
      <c r="G12" t="s">
        <v>17</v>
      </c>
      <c r="J12">
        <v>1.28</v>
      </c>
      <c r="K12">
        <v>64.03</v>
      </c>
      <c r="L12" t="s">
        <v>283</v>
      </c>
    </row>
    <row r="13" spans="1:12" x14ac:dyDescent="0.25">
      <c r="A13" t="s">
        <v>28</v>
      </c>
      <c r="B13" t="s">
        <v>99</v>
      </c>
      <c r="C13" t="s">
        <v>272</v>
      </c>
      <c r="D13" t="s">
        <v>273</v>
      </c>
      <c r="E13" t="s">
        <v>16</v>
      </c>
      <c r="F13">
        <v>23.460999999999899</v>
      </c>
      <c r="G13" t="s">
        <v>17</v>
      </c>
      <c r="J13">
        <v>1.28</v>
      </c>
      <c r="K13">
        <v>30.03</v>
      </c>
      <c r="L13" t="s">
        <v>284</v>
      </c>
    </row>
    <row r="14" spans="1:12" x14ac:dyDescent="0.25">
      <c r="A14" t="s">
        <v>32</v>
      </c>
      <c r="B14" t="s">
        <v>72</v>
      </c>
      <c r="C14" t="s">
        <v>275</v>
      </c>
      <c r="D14" t="s">
        <v>276</v>
      </c>
      <c r="E14" t="s">
        <v>16</v>
      </c>
      <c r="F14">
        <v>39.039000000000001</v>
      </c>
      <c r="G14" t="s">
        <v>17</v>
      </c>
      <c r="J14">
        <v>1.28</v>
      </c>
      <c r="K14">
        <v>49.97</v>
      </c>
      <c r="L14" t="s">
        <v>285</v>
      </c>
    </row>
    <row r="15" spans="1:12" x14ac:dyDescent="0.25">
      <c r="A15" t="s">
        <v>32</v>
      </c>
      <c r="B15" t="s">
        <v>72</v>
      </c>
      <c r="C15" t="s">
        <v>269</v>
      </c>
      <c r="D15" t="s">
        <v>270</v>
      </c>
      <c r="E15" t="s">
        <v>16</v>
      </c>
      <c r="F15">
        <v>47.938000000000002</v>
      </c>
      <c r="G15" t="s">
        <v>17</v>
      </c>
      <c r="J15">
        <v>1.28</v>
      </c>
      <c r="K15">
        <v>61.36</v>
      </c>
      <c r="L15" t="s">
        <v>111</v>
      </c>
    </row>
    <row r="16" spans="1:12" x14ac:dyDescent="0.25">
      <c r="A16" t="s">
        <v>32</v>
      </c>
      <c r="B16" t="s">
        <v>72</v>
      </c>
      <c r="C16" t="s">
        <v>265</v>
      </c>
      <c r="D16" t="s">
        <v>266</v>
      </c>
      <c r="E16" t="s">
        <v>16</v>
      </c>
      <c r="F16">
        <v>41.523000000000003</v>
      </c>
      <c r="G16" t="s">
        <v>17</v>
      </c>
      <c r="J16">
        <v>1.28</v>
      </c>
      <c r="K16">
        <v>53.15</v>
      </c>
      <c r="L16" t="s">
        <v>75</v>
      </c>
    </row>
    <row r="17" spans="1:12" x14ac:dyDescent="0.25">
      <c r="A17" t="s">
        <v>85</v>
      </c>
      <c r="B17" t="s">
        <v>99</v>
      </c>
      <c r="C17" t="s">
        <v>272</v>
      </c>
      <c r="D17" t="s">
        <v>273</v>
      </c>
      <c r="E17" t="s">
        <v>16</v>
      </c>
      <c r="F17">
        <v>44.273000000000003</v>
      </c>
      <c r="G17" t="s">
        <v>17</v>
      </c>
      <c r="J17">
        <v>1.28</v>
      </c>
      <c r="K17">
        <v>56.67</v>
      </c>
      <c r="L17" t="s">
        <v>286</v>
      </c>
    </row>
    <row r="18" spans="1:12" x14ac:dyDescent="0.25">
      <c r="A18" t="s">
        <v>36</v>
      </c>
      <c r="B18" t="s">
        <v>72</v>
      </c>
      <c r="C18" t="s">
        <v>275</v>
      </c>
      <c r="D18" t="s">
        <v>276</v>
      </c>
      <c r="E18" t="s">
        <v>16</v>
      </c>
      <c r="F18">
        <v>53.25</v>
      </c>
      <c r="G18" t="s">
        <v>17</v>
      </c>
      <c r="J18">
        <v>1.28</v>
      </c>
      <c r="K18">
        <v>68.16</v>
      </c>
      <c r="L18" t="s">
        <v>287</v>
      </c>
    </row>
    <row r="19" spans="1:12" x14ac:dyDescent="0.25">
      <c r="A19" t="s">
        <v>127</v>
      </c>
      <c r="B19" t="s">
        <v>99</v>
      </c>
      <c r="C19" t="s">
        <v>272</v>
      </c>
      <c r="D19" t="s">
        <v>273</v>
      </c>
      <c r="E19" t="s">
        <v>16</v>
      </c>
      <c r="F19">
        <v>23.437999999999899</v>
      </c>
      <c r="G19" t="s">
        <v>17</v>
      </c>
      <c r="J19">
        <v>1.28</v>
      </c>
      <c r="K19">
        <v>30</v>
      </c>
      <c r="L19" t="s">
        <v>288</v>
      </c>
    </row>
    <row r="20" spans="1:12" x14ac:dyDescent="0.25">
      <c r="A20" t="s">
        <v>41</v>
      </c>
      <c r="B20" t="s">
        <v>72</v>
      </c>
      <c r="C20" t="s">
        <v>272</v>
      </c>
      <c r="D20" t="s">
        <v>273</v>
      </c>
      <c r="E20" t="s">
        <v>16</v>
      </c>
      <c r="F20">
        <v>43.713000000000001</v>
      </c>
      <c r="G20" t="s">
        <v>17</v>
      </c>
      <c r="J20">
        <v>1.29</v>
      </c>
      <c r="K20">
        <v>56.39</v>
      </c>
      <c r="L20" t="s">
        <v>201</v>
      </c>
    </row>
    <row r="21" spans="1:12" x14ac:dyDescent="0.25">
      <c r="A21" t="s">
        <v>41</v>
      </c>
      <c r="B21" t="s">
        <v>72</v>
      </c>
      <c r="C21" t="s">
        <v>275</v>
      </c>
      <c r="D21" t="s">
        <v>276</v>
      </c>
      <c r="E21" t="s">
        <v>16</v>
      </c>
      <c r="F21">
        <v>63.209000000000003</v>
      </c>
      <c r="G21" t="s">
        <v>17</v>
      </c>
      <c r="J21">
        <v>1.29</v>
      </c>
      <c r="K21">
        <v>81.540000000000006</v>
      </c>
      <c r="L21" t="s">
        <v>289</v>
      </c>
    </row>
    <row r="22" spans="1:12" x14ac:dyDescent="0.25">
      <c r="A22" t="s">
        <v>91</v>
      </c>
      <c r="B22" t="s">
        <v>72</v>
      </c>
      <c r="C22" t="s">
        <v>265</v>
      </c>
      <c r="D22" t="s">
        <v>266</v>
      </c>
      <c r="E22" t="s">
        <v>16</v>
      </c>
      <c r="F22">
        <v>39.777000000000001</v>
      </c>
      <c r="G22" t="s">
        <v>17</v>
      </c>
      <c r="J22">
        <v>1.3</v>
      </c>
      <c r="K22">
        <v>51.71</v>
      </c>
      <c r="L22" t="s">
        <v>290</v>
      </c>
    </row>
    <row r="23" spans="1:12" x14ac:dyDescent="0.25">
      <c r="A23" t="s">
        <v>91</v>
      </c>
      <c r="B23" t="s">
        <v>99</v>
      </c>
      <c r="C23" t="s">
        <v>272</v>
      </c>
      <c r="D23" t="s">
        <v>273</v>
      </c>
      <c r="E23" t="s">
        <v>16</v>
      </c>
      <c r="F23">
        <v>23.114999999999899</v>
      </c>
      <c r="G23" t="s">
        <v>17</v>
      </c>
      <c r="J23">
        <v>1.3</v>
      </c>
      <c r="K23">
        <v>30.05</v>
      </c>
      <c r="L23" t="s">
        <v>291</v>
      </c>
    </row>
    <row r="24" spans="1:12" x14ac:dyDescent="0.25">
      <c r="A24" t="s">
        <v>45</v>
      </c>
      <c r="B24" t="s">
        <v>72</v>
      </c>
      <c r="C24" t="s">
        <v>275</v>
      </c>
      <c r="D24" t="s">
        <v>276</v>
      </c>
      <c r="E24" t="s">
        <v>16</v>
      </c>
      <c r="F24">
        <v>50.076999999999899</v>
      </c>
      <c r="G24" t="s">
        <v>17</v>
      </c>
      <c r="J24">
        <v>1.3</v>
      </c>
      <c r="K24">
        <v>65.099999999999994</v>
      </c>
      <c r="L24" t="s">
        <v>292</v>
      </c>
    </row>
    <row r="25" spans="1:12" x14ac:dyDescent="0.25">
      <c r="F25" s="1">
        <f>SUM(F2:F24)</f>
        <v>906.11899999999923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6"/>
  <sheetViews>
    <sheetView workbookViewId="0">
      <selection activeCell="F16" sqref="F16"/>
    </sheetView>
  </sheetViews>
  <sheetFormatPr defaultRowHeight="15" x14ac:dyDescent="0.25"/>
  <cols>
    <col min="1" max="1" width="10.42578125" bestFit="1" customWidth="1"/>
    <col min="2" max="2" width="32.42578125" bestFit="1" customWidth="1"/>
    <col min="3" max="3" width="10" bestFit="1" customWidth="1"/>
    <col min="4" max="4" width="18.28515625" bestFit="1" customWidth="1"/>
    <col min="5" max="5" width="30.42578125" bestFit="1" customWidth="1"/>
    <col min="7" max="7" width="15.285156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264</v>
      </c>
      <c r="B2" t="s">
        <v>128</v>
      </c>
      <c r="C2" t="s">
        <v>293</v>
      </c>
      <c r="D2" t="s">
        <v>294</v>
      </c>
      <c r="E2" t="s">
        <v>174</v>
      </c>
      <c r="F2">
        <v>38.96</v>
      </c>
      <c r="G2" t="s">
        <v>17</v>
      </c>
      <c r="J2">
        <v>1.51</v>
      </c>
      <c r="K2">
        <v>58.83</v>
      </c>
      <c r="L2" t="s">
        <v>295</v>
      </c>
    </row>
    <row r="3" spans="1:12" x14ac:dyDescent="0.25">
      <c r="A3" t="s">
        <v>19</v>
      </c>
      <c r="B3" t="s">
        <v>99</v>
      </c>
      <c r="C3" t="s">
        <v>296</v>
      </c>
      <c r="D3" t="s">
        <v>297</v>
      </c>
      <c r="E3" t="s">
        <v>174</v>
      </c>
      <c r="F3">
        <v>25.503</v>
      </c>
      <c r="G3" t="s">
        <v>17</v>
      </c>
      <c r="J3">
        <v>1.49</v>
      </c>
      <c r="K3">
        <v>38</v>
      </c>
      <c r="L3" t="s">
        <v>298</v>
      </c>
    </row>
    <row r="4" spans="1:12" x14ac:dyDescent="0.25">
      <c r="A4" t="s">
        <v>19</v>
      </c>
      <c r="B4" t="s">
        <v>299</v>
      </c>
      <c r="C4" t="s">
        <v>300</v>
      </c>
      <c r="D4" t="s">
        <v>301</v>
      </c>
      <c r="E4" t="s">
        <v>174</v>
      </c>
      <c r="F4">
        <v>39.576999999999899</v>
      </c>
      <c r="G4" t="s">
        <v>17</v>
      </c>
      <c r="J4">
        <v>1.49</v>
      </c>
      <c r="K4">
        <v>58.97</v>
      </c>
      <c r="L4" t="s">
        <v>302</v>
      </c>
    </row>
    <row r="5" spans="1:12" x14ac:dyDescent="0.25">
      <c r="A5" t="s">
        <v>61</v>
      </c>
      <c r="B5" t="s">
        <v>123</v>
      </c>
      <c r="C5" t="s">
        <v>293</v>
      </c>
      <c r="D5" t="s">
        <v>294</v>
      </c>
      <c r="E5" t="s">
        <v>174</v>
      </c>
      <c r="F5">
        <v>23.291</v>
      </c>
      <c r="G5" t="s">
        <v>17</v>
      </c>
      <c r="J5">
        <v>1.51</v>
      </c>
      <c r="K5">
        <v>35.17</v>
      </c>
      <c r="L5" t="s">
        <v>303</v>
      </c>
    </row>
    <row r="6" spans="1:12" x14ac:dyDescent="0.25">
      <c r="A6" t="s">
        <v>304</v>
      </c>
      <c r="B6" t="s">
        <v>176</v>
      </c>
      <c r="C6" t="s">
        <v>293</v>
      </c>
      <c r="D6" t="s">
        <v>294</v>
      </c>
      <c r="E6" t="s">
        <v>174</v>
      </c>
      <c r="F6">
        <v>22.768000000000001</v>
      </c>
      <c r="G6" t="s">
        <v>17</v>
      </c>
      <c r="J6">
        <v>1.51</v>
      </c>
      <c r="K6">
        <v>34.380000000000003</v>
      </c>
      <c r="L6" t="s">
        <v>305</v>
      </c>
    </row>
    <row r="7" spans="1:12" x14ac:dyDescent="0.25">
      <c r="A7" t="s">
        <v>304</v>
      </c>
      <c r="B7" t="s">
        <v>144</v>
      </c>
      <c r="C7" t="s">
        <v>293</v>
      </c>
      <c r="D7" t="s">
        <v>294</v>
      </c>
      <c r="E7" t="s">
        <v>174</v>
      </c>
      <c r="F7">
        <v>32.093000000000004</v>
      </c>
      <c r="G7" t="s">
        <v>17</v>
      </c>
      <c r="J7">
        <v>1.51</v>
      </c>
      <c r="K7">
        <v>48.46</v>
      </c>
      <c r="L7" t="s">
        <v>306</v>
      </c>
    </row>
    <row r="8" spans="1:12" x14ac:dyDescent="0.25">
      <c r="A8" t="s">
        <v>76</v>
      </c>
      <c r="B8" t="s">
        <v>72</v>
      </c>
      <c r="C8" t="s">
        <v>300</v>
      </c>
      <c r="D8" t="s">
        <v>301</v>
      </c>
      <c r="E8" t="s">
        <v>174</v>
      </c>
      <c r="F8">
        <v>40.43</v>
      </c>
      <c r="G8" t="s">
        <v>17</v>
      </c>
      <c r="J8">
        <v>1.49</v>
      </c>
      <c r="K8">
        <v>60.24</v>
      </c>
      <c r="L8" t="s">
        <v>307</v>
      </c>
    </row>
    <row r="9" spans="1:12" x14ac:dyDescent="0.25">
      <c r="A9" t="s">
        <v>241</v>
      </c>
      <c r="B9" t="s">
        <v>308</v>
      </c>
      <c r="C9" t="s">
        <v>293</v>
      </c>
      <c r="D9" t="s">
        <v>294</v>
      </c>
      <c r="E9" t="s">
        <v>174</v>
      </c>
      <c r="F9">
        <v>38.509999999999899</v>
      </c>
      <c r="G9" t="s">
        <v>17</v>
      </c>
      <c r="J9">
        <v>1.51</v>
      </c>
      <c r="K9">
        <v>58.15</v>
      </c>
      <c r="L9" t="s">
        <v>309</v>
      </c>
    </row>
    <row r="10" spans="1:12" x14ac:dyDescent="0.25">
      <c r="A10" t="s">
        <v>36</v>
      </c>
      <c r="B10" t="s">
        <v>68</v>
      </c>
      <c r="C10" t="s">
        <v>300</v>
      </c>
      <c r="D10" t="s">
        <v>301</v>
      </c>
      <c r="E10" t="s">
        <v>65</v>
      </c>
      <c r="F10">
        <v>37.520000000000003</v>
      </c>
      <c r="G10" t="s">
        <v>17</v>
      </c>
      <c r="J10">
        <v>1.25</v>
      </c>
      <c r="K10">
        <v>46.9</v>
      </c>
      <c r="L10" t="s">
        <v>310</v>
      </c>
    </row>
    <row r="11" spans="1:12" x14ac:dyDescent="0.25">
      <c r="A11" t="s">
        <v>36</v>
      </c>
      <c r="B11" t="s">
        <v>68</v>
      </c>
      <c r="C11" t="s">
        <v>300</v>
      </c>
      <c r="D11" t="s">
        <v>301</v>
      </c>
      <c r="E11" t="s">
        <v>185</v>
      </c>
      <c r="F11">
        <v>1</v>
      </c>
      <c r="G11" t="s">
        <v>152</v>
      </c>
      <c r="J11">
        <v>8.18</v>
      </c>
      <c r="K11">
        <v>8.18</v>
      </c>
      <c r="L11" t="s">
        <v>310</v>
      </c>
    </row>
    <row r="12" spans="1:12" x14ac:dyDescent="0.25">
      <c r="A12" t="s">
        <v>36</v>
      </c>
      <c r="B12" t="s">
        <v>99</v>
      </c>
      <c r="C12" t="s">
        <v>296</v>
      </c>
      <c r="D12" t="s">
        <v>297</v>
      </c>
      <c r="E12" t="s">
        <v>174</v>
      </c>
      <c r="F12">
        <v>29.5169999999999</v>
      </c>
      <c r="G12" t="s">
        <v>17</v>
      </c>
      <c r="J12">
        <v>1.49</v>
      </c>
      <c r="K12">
        <v>43.98</v>
      </c>
      <c r="L12" t="s">
        <v>311</v>
      </c>
    </row>
    <row r="13" spans="1:12" x14ac:dyDescent="0.25">
      <c r="A13" t="s">
        <v>38</v>
      </c>
      <c r="B13" t="s">
        <v>312</v>
      </c>
      <c r="C13" t="s">
        <v>293</v>
      </c>
      <c r="D13" t="s">
        <v>294</v>
      </c>
      <c r="E13" t="s">
        <v>174</v>
      </c>
      <c r="F13">
        <v>13.318</v>
      </c>
      <c r="G13" t="s">
        <v>17</v>
      </c>
      <c r="J13">
        <v>1.51</v>
      </c>
      <c r="K13">
        <v>20.11</v>
      </c>
      <c r="L13" t="s">
        <v>313</v>
      </c>
    </row>
    <row r="14" spans="1:12" x14ac:dyDescent="0.25">
      <c r="A14" t="s">
        <v>41</v>
      </c>
      <c r="B14" t="s">
        <v>314</v>
      </c>
      <c r="C14" t="s">
        <v>293</v>
      </c>
      <c r="D14" t="s">
        <v>294</v>
      </c>
      <c r="E14" t="s">
        <v>174</v>
      </c>
      <c r="F14">
        <v>28.210999999999899</v>
      </c>
      <c r="G14" t="s">
        <v>17</v>
      </c>
      <c r="J14">
        <v>1.47</v>
      </c>
      <c r="K14">
        <v>41.47</v>
      </c>
      <c r="L14" t="s">
        <v>315</v>
      </c>
    </row>
    <row r="15" spans="1:12" x14ac:dyDescent="0.25">
      <c r="A15" t="s">
        <v>43</v>
      </c>
      <c r="B15" t="s">
        <v>87</v>
      </c>
      <c r="C15" t="s">
        <v>293</v>
      </c>
      <c r="D15" t="s">
        <v>294</v>
      </c>
      <c r="E15" t="s">
        <v>174</v>
      </c>
      <c r="F15">
        <v>23.579000000000001</v>
      </c>
      <c r="G15" t="s">
        <v>17</v>
      </c>
      <c r="J15">
        <v>1.52</v>
      </c>
      <c r="K15">
        <v>35.840000000000003</v>
      </c>
      <c r="L15" t="s">
        <v>316</v>
      </c>
    </row>
    <row r="16" spans="1:12" x14ac:dyDescent="0.25">
      <c r="F16" s="1">
        <f>SUM(F2:F10,F12:F15)</f>
        <v>393.27699999999953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9"/>
  <sheetViews>
    <sheetView workbookViewId="0">
      <selection activeCell="K19" sqref="K19"/>
    </sheetView>
  </sheetViews>
  <sheetFormatPr defaultRowHeight="15" x14ac:dyDescent="0.25"/>
  <cols>
    <col min="1" max="1" width="10.42578125" bestFit="1" customWidth="1"/>
    <col min="2" max="2" width="32.42578125" bestFit="1" customWidth="1"/>
    <col min="3" max="3" width="9.85546875" bestFit="1" customWidth="1"/>
    <col min="4" max="4" width="18.28515625" bestFit="1" customWidth="1"/>
    <col min="5" max="5" width="22.85546875" bestFit="1" customWidth="1"/>
    <col min="7" max="7" width="15.28515625" bestFit="1" customWidth="1"/>
    <col min="8" max="8" width="9.425781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</v>
      </c>
      <c r="B2" t="s">
        <v>227</v>
      </c>
      <c r="C2" t="s">
        <v>317</v>
      </c>
      <c r="D2" t="s">
        <v>318</v>
      </c>
      <c r="E2" t="s">
        <v>65</v>
      </c>
      <c r="F2">
        <v>26.637</v>
      </c>
      <c r="G2" t="s">
        <v>17</v>
      </c>
      <c r="J2">
        <v>1.24</v>
      </c>
      <c r="K2">
        <v>33.03</v>
      </c>
      <c r="L2" t="s">
        <v>319</v>
      </c>
    </row>
    <row r="3" spans="1:12" x14ac:dyDescent="0.25">
      <c r="A3" t="s">
        <v>106</v>
      </c>
      <c r="B3" t="s">
        <v>227</v>
      </c>
      <c r="C3" t="s">
        <v>320</v>
      </c>
      <c r="D3" t="s">
        <v>321</v>
      </c>
      <c r="E3" t="s">
        <v>65</v>
      </c>
      <c r="F3">
        <v>38.798000000000002</v>
      </c>
      <c r="G3" t="s">
        <v>17</v>
      </c>
      <c r="J3">
        <v>1.24</v>
      </c>
      <c r="K3">
        <v>48.11</v>
      </c>
      <c r="L3" t="s">
        <v>322</v>
      </c>
    </row>
    <row r="4" spans="1:12" x14ac:dyDescent="0.25">
      <c r="A4" t="s">
        <v>24</v>
      </c>
      <c r="B4" t="s">
        <v>227</v>
      </c>
      <c r="C4" t="s">
        <v>320</v>
      </c>
      <c r="D4" t="s">
        <v>321</v>
      </c>
      <c r="E4" t="s">
        <v>65</v>
      </c>
      <c r="F4">
        <v>34.305999999999898</v>
      </c>
      <c r="G4" t="s">
        <v>17</v>
      </c>
      <c r="J4">
        <v>1.24</v>
      </c>
      <c r="K4">
        <v>42.54</v>
      </c>
      <c r="L4" t="s">
        <v>323</v>
      </c>
    </row>
    <row r="5" spans="1:12" x14ac:dyDescent="0.25">
      <c r="A5" t="s">
        <v>41</v>
      </c>
      <c r="B5" t="s">
        <v>227</v>
      </c>
      <c r="C5" t="s">
        <v>320</v>
      </c>
      <c r="D5" t="s">
        <v>321</v>
      </c>
      <c r="E5" t="s">
        <v>65</v>
      </c>
      <c r="F5">
        <v>34.805999999999898</v>
      </c>
      <c r="G5" t="s">
        <v>17</v>
      </c>
      <c r="J5">
        <v>1.24</v>
      </c>
      <c r="K5">
        <v>43.16</v>
      </c>
      <c r="L5" t="s">
        <v>324</v>
      </c>
    </row>
    <row r="6" spans="1:12" x14ac:dyDescent="0.25">
      <c r="A6" t="s">
        <v>45</v>
      </c>
      <c r="B6" t="s">
        <v>227</v>
      </c>
      <c r="C6" t="s">
        <v>320</v>
      </c>
      <c r="D6" t="s">
        <v>321</v>
      </c>
      <c r="E6" t="s">
        <v>65</v>
      </c>
      <c r="F6">
        <v>33</v>
      </c>
      <c r="G6" t="s">
        <v>17</v>
      </c>
      <c r="J6">
        <v>1.25</v>
      </c>
      <c r="K6">
        <v>41.25</v>
      </c>
      <c r="L6" t="s">
        <v>325</v>
      </c>
    </row>
    <row r="7" spans="1:12" x14ac:dyDescent="0.25">
      <c r="A7" t="s">
        <v>45</v>
      </c>
      <c r="B7" t="s">
        <v>144</v>
      </c>
      <c r="C7" t="s">
        <v>320</v>
      </c>
      <c r="D7" t="s">
        <v>321</v>
      </c>
      <c r="E7" t="s">
        <v>65</v>
      </c>
      <c r="F7">
        <v>23.148</v>
      </c>
      <c r="G7" t="s">
        <v>17</v>
      </c>
      <c r="J7">
        <v>1.28</v>
      </c>
      <c r="K7">
        <v>29.63</v>
      </c>
      <c r="L7" t="s">
        <v>326</v>
      </c>
    </row>
    <row r="8" spans="1:12" x14ac:dyDescent="0.25">
      <c r="A8" t="s">
        <v>116</v>
      </c>
      <c r="B8" t="s">
        <v>227</v>
      </c>
      <c r="C8" t="s">
        <v>320</v>
      </c>
      <c r="D8" t="s">
        <v>321</v>
      </c>
      <c r="E8" t="s">
        <v>65</v>
      </c>
      <c r="F8">
        <v>32.247999999999898</v>
      </c>
      <c r="G8" t="s">
        <v>17</v>
      </c>
      <c r="J8">
        <v>1.25</v>
      </c>
      <c r="K8">
        <v>40.31</v>
      </c>
      <c r="L8" t="s">
        <v>210</v>
      </c>
    </row>
    <row r="9" spans="1:12" x14ac:dyDescent="0.25">
      <c r="F9" s="1">
        <f>SUM(F2:F8)</f>
        <v>222.9429999999997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6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27.140625" bestFit="1" customWidth="1"/>
    <col min="3" max="3" width="9.85546875" bestFit="1" customWidth="1"/>
    <col min="4" max="4" width="18.28515625" bestFit="1" customWidth="1"/>
    <col min="5" max="5" width="22.85546875" bestFit="1" customWidth="1"/>
    <col min="6" max="6" width="8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57</v>
      </c>
      <c r="B2" t="s">
        <v>227</v>
      </c>
      <c r="C2" t="s">
        <v>327</v>
      </c>
      <c r="D2" t="s">
        <v>328</v>
      </c>
      <c r="E2" t="s">
        <v>65</v>
      </c>
      <c r="F2">
        <v>47.427</v>
      </c>
      <c r="G2" t="s">
        <v>17</v>
      </c>
      <c r="J2">
        <v>1.24</v>
      </c>
      <c r="K2">
        <v>58.81</v>
      </c>
      <c r="L2" t="s">
        <v>329</v>
      </c>
    </row>
    <row r="3" spans="1:12" x14ac:dyDescent="0.25">
      <c r="A3" t="s">
        <v>32</v>
      </c>
      <c r="B3" t="s">
        <v>330</v>
      </c>
      <c r="C3" t="s">
        <v>331</v>
      </c>
      <c r="D3" t="s">
        <v>332</v>
      </c>
      <c r="E3" t="s">
        <v>16</v>
      </c>
      <c r="F3">
        <v>38.039000000000001</v>
      </c>
      <c r="G3" t="s">
        <v>17</v>
      </c>
      <c r="J3">
        <v>1.28</v>
      </c>
      <c r="K3">
        <v>48.69</v>
      </c>
      <c r="L3" t="s">
        <v>333</v>
      </c>
    </row>
    <row r="4" spans="1:12" x14ac:dyDescent="0.25">
      <c r="A4" t="s">
        <v>85</v>
      </c>
      <c r="B4" t="s">
        <v>128</v>
      </c>
      <c r="C4" t="s">
        <v>331</v>
      </c>
      <c r="D4" t="s">
        <v>332</v>
      </c>
      <c r="E4" t="s">
        <v>16</v>
      </c>
      <c r="F4">
        <v>53.576999999999899</v>
      </c>
      <c r="G4" t="s">
        <v>17</v>
      </c>
      <c r="J4">
        <v>1.3</v>
      </c>
      <c r="K4">
        <v>69.650000000000006</v>
      </c>
      <c r="L4" t="s">
        <v>334</v>
      </c>
    </row>
    <row r="5" spans="1:12" x14ac:dyDescent="0.25">
      <c r="A5" t="s">
        <v>36</v>
      </c>
      <c r="B5" t="s">
        <v>227</v>
      </c>
      <c r="C5" t="s">
        <v>327</v>
      </c>
      <c r="D5" t="s">
        <v>328</v>
      </c>
      <c r="E5" t="s">
        <v>16</v>
      </c>
      <c r="F5">
        <v>41.219999999999899</v>
      </c>
      <c r="G5" t="s">
        <v>17</v>
      </c>
      <c r="J5">
        <v>1.27</v>
      </c>
      <c r="K5">
        <v>52.35</v>
      </c>
      <c r="L5" t="s">
        <v>335</v>
      </c>
    </row>
    <row r="6" spans="1:12" x14ac:dyDescent="0.25">
      <c r="F6" s="1">
        <f>SUM(F2:F5)</f>
        <v>180.26299999999981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6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29.7109375" bestFit="1" customWidth="1"/>
    <col min="4" max="4" width="18.28515625" bestFit="1" customWidth="1"/>
    <col min="5" max="5" width="16.42578125" bestFit="1" customWidth="1"/>
    <col min="7" max="7" width="15.285156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</v>
      </c>
      <c r="B2" t="s">
        <v>336</v>
      </c>
      <c r="C2" t="s">
        <v>337</v>
      </c>
      <c r="D2" t="s">
        <v>338</v>
      </c>
      <c r="E2" t="s">
        <v>16</v>
      </c>
      <c r="F2">
        <v>35.241999999999898</v>
      </c>
      <c r="G2" t="s">
        <v>17</v>
      </c>
      <c r="J2">
        <v>1.28</v>
      </c>
      <c r="K2">
        <v>45.11</v>
      </c>
      <c r="L2" t="s">
        <v>339</v>
      </c>
    </row>
    <row r="3" spans="1:12" x14ac:dyDescent="0.25">
      <c r="A3" t="s">
        <v>51</v>
      </c>
      <c r="B3" t="s">
        <v>52</v>
      </c>
      <c r="C3" t="s">
        <v>337</v>
      </c>
      <c r="D3" t="s">
        <v>338</v>
      </c>
      <c r="E3" t="s">
        <v>16</v>
      </c>
      <c r="F3">
        <v>20.57</v>
      </c>
      <c r="G3" t="s">
        <v>17</v>
      </c>
      <c r="J3">
        <v>1.28</v>
      </c>
      <c r="K3">
        <v>26.33</v>
      </c>
      <c r="L3" t="s">
        <v>340</v>
      </c>
    </row>
    <row r="4" spans="1:12" x14ac:dyDescent="0.25">
      <c r="A4" t="s">
        <v>101</v>
      </c>
      <c r="B4" t="s">
        <v>52</v>
      </c>
      <c r="C4" t="s">
        <v>337</v>
      </c>
      <c r="D4" t="s">
        <v>338</v>
      </c>
      <c r="E4" t="s">
        <v>16</v>
      </c>
      <c r="F4">
        <v>75.867999999999896</v>
      </c>
      <c r="G4" t="s">
        <v>17</v>
      </c>
      <c r="J4">
        <v>1.29</v>
      </c>
      <c r="K4">
        <v>97.87</v>
      </c>
      <c r="L4" t="s">
        <v>341</v>
      </c>
    </row>
    <row r="5" spans="1:12" x14ac:dyDescent="0.25">
      <c r="A5" t="s">
        <v>116</v>
      </c>
      <c r="B5" t="s">
        <v>52</v>
      </c>
      <c r="C5" t="s">
        <v>337</v>
      </c>
      <c r="D5" t="s">
        <v>338</v>
      </c>
      <c r="E5" t="s">
        <v>174</v>
      </c>
      <c r="F5">
        <v>20</v>
      </c>
      <c r="G5" t="s">
        <v>17</v>
      </c>
      <c r="J5">
        <v>1.5</v>
      </c>
      <c r="K5">
        <v>30</v>
      </c>
      <c r="L5" t="s">
        <v>86</v>
      </c>
    </row>
    <row r="6" spans="1:12" x14ac:dyDescent="0.25">
      <c r="F6" s="1">
        <f>SUM(F2:F5)</f>
        <v>151.67999999999978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6"/>
  <sheetViews>
    <sheetView workbookViewId="0">
      <selection activeCell="K13" sqref="K13"/>
    </sheetView>
  </sheetViews>
  <sheetFormatPr defaultRowHeight="15" x14ac:dyDescent="0.25"/>
  <cols>
    <col min="1" max="1" width="10.42578125" bestFit="1" customWidth="1"/>
    <col min="2" max="2" width="27.140625" bestFit="1" customWidth="1"/>
    <col min="3" max="3" width="5" bestFit="1" customWidth="1"/>
    <col min="4" max="4" width="18.28515625" bestFit="1" customWidth="1"/>
    <col min="5" max="5" width="16.4257812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</v>
      </c>
      <c r="B2" t="s">
        <v>227</v>
      </c>
      <c r="C2" t="s">
        <v>342</v>
      </c>
      <c r="D2" t="s">
        <v>343</v>
      </c>
      <c r="E2" t="s">
        <v>16</v>
      </c>
      <c r="F2">
        <v>29.843</v>
      </c>
      <c r="G2" t="s">
        <v>17</v>
      </c>
      <c r="J2">
        <v>1.27</v>
      </c>
      <c r="K2">
        <v>37.9</v>
      </c>
      <c r="L2" t="s">
        <v>344</v>
      </c>
    </row>
    <row r="3" spans="1:12" x14ac:dyDescent="0.25">
      <c r="A3" t="s">
        <v>24</v>
      </c>
      <c r="B3" t="s">
        <v>227</v>
      </c>
      <c r="C3" t="s">
        <v>342</v>
      </c>
      <c r="D3" t="s">
        <v>343</v>
      </c>
      <c r="E3" t="s">
        <v>16</v>
      </c>
      <c r="F3">
        <v>37.969000000000001</v>
      </c>
      <c r="G3" t="s">
        <v>17</v>
      </c>
      <c r="J3">
        <v>1.27</v>
      </c>
      <c r="K3">
        <v>48.22</v>
      </c>
      <c r="L3" t="s">
        <v>345</v>
      </c>
    </row>
    <row r="4" spans="1:12" x14ac:dyDescent="0.25">
      <c r="A4" t="s">
        <v>36</v>
      </c>
      <c r="B4" t="s">
        <v>227</v>
      </c>
      <c r="C4" t="s">
        <v>342</v>
      </c>
      <c r="D4" t="s">
        <v>343</v>
      </c>
      <c r="E4" t="s">
        <v>16</v>
      </c>
      <c r="F4">
        <v>32.575000000000003</v>
      </c>
      <c r="G4" t="s">
        <v>17</v>
      </c>
      <c r="J4">
        <v>1.27</v>
      </c>
      <c r="K4">
        <v>41.37</v>
      </c>
      <c r="L4" t="s">
        <v>346</v>
      </c>
    </row>
    <row r="5" spans="1:12" x14ac:dyDescent="0.25">
      <c r="A5" t="s">
        <v>45</v>
      </c>
      <c r="B5" t="s">
        <v>227</v>
      </c>
      <c r="C5" t="s">
        <v>342</v>
      </c>
      <c r="D5" t="s">
        <v>343</v>
      </c>
      <c r="E5" t="s">
        <v>16</v>
      </c>
      <c r="F5">
        <v>34.209000000000003</v>
      </c>
      <c r="G5" t="s">
        <v>17</v>
      </c>
      <c r="J5">
        <v>1.29</v>
      </c>
      <c r="K5">
        <v>44.13</v>
      </c>
      <c r="L5" t="s">
        <v>347</v>
      </c>
    </row>
    <row r="6" spans="1:12" x14ac:dyDescent="0.25">
      <c r="F6" s="1">
        <f>SUM(F2:F5)</f>
        <v>134.596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4"/>
  <sheetViews>
    <sheetView workbookViewId="0">
      <selection activeCell="I25" sqref="I25"/>
    </sheetView>
  </sheetViews>
  <sheetFormatPr defaultRowHeight="15" x14ac:dyDescent="0.25"/>
  <cols>
    <col min="1" max="1" width="10.42578125" bestFit="1" customWidth="1"/>
    <col min="2" max="2" width="29.710937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76</v>
      </c>
      <c r="B2" t="s">
        <v>348</v>
      </c>
      <c r="C2" t="s">
        <v>349</v>
      </c>
      <c r="D2" t="s">
        <v>350</v>
      </c>
      <c r="E2" t="s">
        <v>65</v>
      </c>
      <c r="F2">
        <v>87.048000000000002</v>
      </c>
      <c r="G2" t="s">
        <v>17</v>
      </c>
      <c r="J2">
        <v>1.25</v>
      </c>
      <c r="K2">
        <v>108.81</v>
      </c>
      <c r="L2" t="s">
        <v>351</v>
      </c>
    </row>
    <row r="3" spans="1:12" x14ac:dyDescent="0.25">
      <c r="A3" t="s">
        <v>43</v>
      </c>
      <c r="B3" t="s">
        <v>336</v>
      </c>
      <c r="C3" t="s">
        <v>349</v>
      </c>
      <c r="D3" t="s">
        <v>350</v>
      </c>
      <c r="E3" t="s">
        <v>65</v>
      </c>
      <c r="F3">
        <v>66.269999999999897</v>
      </c>
      <c r="G3" t="s">
        <v>17</v>
      </c>
      <c r="J3">
        <v>1.26</v>
      </c>
      <c r="K3">
        <v>83.5</v>
      </c>
      <c r="L3" t="s">
        <v>352</v>
      </c>
    </row>
    <row r="4" spans="1:12" x14ac:dyDescent="0.25">
      <c r="F4" s="1">
        <f>SUM(F2:F3)</f>
        <v>153.3179999999999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104"/>
  <sheetViews>
    <sheetView topLeftCell="A93" workbookViewId="0">
      <selection activeCell="D127" sqref="D127"/>
    </sheetView>
  </sheetViews>
  <sheetFormatPr defaultRowHeight="15" x14ac:dyDescent="0.25"/>
  <cols>
    <col min="1" max="1" width="10.42578125" bestFit="1" customWidth="1"/>
    <col min="2" max="2" width="32.42578125" bestFit="1" customWidth="1"/>
    <col min="3" max="3" width="9.5703125" bestFit="1" customWidth="1"/>
    <col min="4" max="4" width="18.28515625" bestFit="1" customWidth="1"/>
    <col min="5" max="5" width="47.140625" bestFit="1" customWidth="1"/>
    <col min="6" max="6" width="9" bestFit="1" customWidth="1"/>
    <col min="7" max="7" width="15.28515625" bestFit="1" customWidth="1"/>
    <col min="8" max="8" width="9.425781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195</v>
      </c>
      <c r="B2" t="s">
        <v>353</v>
      </c>
      <c r="C2" t="s">
        <v>354</v>
      </c>
      <c r="D2" t="s">
        <v>355</v>
      </c>
      <c r="E2" t="s">
        <v>16</v>
      </c>
      <c r="F2">
        <v>21.812999999999899</v>
      </c>
      <c r="G2" t="s">
        <v>17</v>
      </c>
      <c r="J2">
        <v>1.28</v>
      </c>
      <c r="K2">
        <v>27.92</v>
      </c>
      <c r="L2" t="s">
        <v>356</v>
      </c>
    </row>
    <row r="3" spans="1:12" x14ac:dyDescent="0.25">
      <c r="A3" t="s">
        <v>51</v>
      </c>
      <c r="B3" t="s">
        <v>136</v>
      </c>
      <c r="C3" t="s">
        <v>357</v>
      </c>
      <c r="D3" t="s">
        <v>358</v>
      </c>
      <c r="E3" t="s">
        <v>16</v>
      </c>
      <c r="F3">
        <v>51.530999999999899</v>
      </c>
      <c r="G3" t="s">
        <v>17</v>
      </c>
      <c r="J3">
        <v>1.28</v>
      </c>
      <c r="K3">
        <v>65.959999999999994</v>
      </c>
      <c r="L3" t="s">
        <v>359</v>
      </c>
    </row>
    <row r="4" spans="1:12" x14ac:dyDescent="0.25">
      <c r="A4" t="s">
        <v>51</v>
      </c>
      <c r="B4" t="s">
        <v>348</v>
      </c>
      <c r="C4" t="s">
        <v>360</v>
      </c>
      <c r="D4" t="s">
        <v>361</v>
      </c>
      <c r="E4" t="s">
        <v>16</v>
      </c>
      <c r="F4">
        <v>42.710999999999899</v>
      </c>
      <c r="G4" t="s">
        <v>17</v>
      </c>
      <c r="J4">
        <v>1.28</v>
      </c>
      <c r="K4">
        <v>54.67</v>
      </c>
      <c r="L4" t="s">
        <v>362</v>
      </c>
    </row>
    <row r="5" spans="1:12" x14ac:dyDescent="0.25">
      <c r="A5" t="s">
        <v>12</v>
      </c>
      <c r="B5" t="s">
        <v>260</v>
      </c>
      <c r="C5" t="s">
        <v>357</v>
      </c>
      <c r="D5" t="s">
        <v>358</v>
      </c>
      <c r="E5" t="s">
        <v>16</v>
      </c>
      <c r="F5">
        <v>45.710999999999899</v>
      </c>
      <c r="G5" t="s">
        <v>17</v>
      </c>
      <c r="J5">
        <v>1.28</v>
      </c>
      <c r="K5">
        <v>58.51</v>
      </c>
      <c r="L5" t="s">
        <v>307</v>
      </c>
    </row>
    <row r="6" spans="1:12" x14ac:dyDescent="0.25">
      <c r="A6" t="s">
        <v>19</v>
      </c>
      <c r="B6" t="s">
        <v>363</v>
      </c>
      <c r="C6" t="s">
        <v>357</v>
      </c>
      <c r="D6" t="s">
        <v>358</v>
      </c>
      <c r="E6" t="s">
        <v>16</v>
      </c>
      <c r="F6">
        <v>43.140999999999899</v>
      </c>
      <c r="G6" t="s">
        <v>17</v>
      </c>
      <c r="J6">
        <v>1.28</v>
      </c>
      <c r="K6">
        <v>55.22</v>
      </c>
      <c r="L6" t="s">
        <v>139</v>
      </c>
    </row>
    <row r="7" spans="1:12" x14ac:dyDescent="0.25">
      <c r="A7" t="s">
        <v>19</v>
      </c>
      <c r="B7" t="s">
        <v>363</v>
      </c>
      <c r="C7" t="s">
        <v>357</v>
      </c>
      <c r="D7" t="s">
        <v>358</v>
      </c>
      <c r="E7" t="s">
        <v>364</v>
      </c>
      <c r="F7">
        <v>1</v>
      </c>
      <c r="G7" t="s">
        <v>152</v>
      </c>
      <c r="J7">
        <v>6.13</v>
      </c>
      <c r="K7">
        <v>6.13</v>
      </c>
      <c r="L7" t="s">
        <v>139</v>
      </c>
    </row>
    <row r="8" spans="1:12" x14ac:dyDescent="0.25">
      <c r="A8" t="s">
        <v>19</v>
      </c>
      <c r="B8" t="s">
        <v>365</v>
      </c>
      <c r="C8" t="s">
        <v>366</v>
      </c>
      <c r="D8" t="s">
        <v>367</v>
      </c>
      <c r="E8" t="s">
        <v>16</v>
      </c>
      <c r="F8">
        <v>52.6619999999999</v>
      </c>
      <c r="G8" t="s">
        <v>17</v>
      </c>
      <c r="J8">
        <v>1.3</v>
      </c>
      <c r="K8">
        <v>68.459999999999994</v>
      </c>
      <c r="L8" t="s">
        <v>368</v>
      </c>
    </row>
    <row r="9" spans="1:12" x14ac:dyDescent="0.25">
      <c r="A9" t="s">
        <v>19</v>
      </c>
      <c r="B9" t="s">
        <v>369</v>
      </c>
      <c r="C9" t="s">
        <v>354</v>
      </c>
      <c r="D9" t="s">
        <v>355</v>
      </c>
      <c r="E9" t="s">
        <v>16</v>
      </c>
      <c r="F9">
        <v>35.164000000000001</v>
      </c>
      <c r="G9" t="s">
        <v>17</v>
      </c>
      <c r="J9">
        <v>1.28</v>
      </c>
      <c r="K9">
        <v>45.01</v>
      </c>
      <c r="L9" t="s">
        <v>370</v>
      </c>
    </row>
    <row r="10" spans="1:12" x14ac:dyDescent="0.25">
      <c r="A10" t="s">
        <v>61</v>
      </c>
      <c r="B10" t="s">
        <v>148</v>
      </c>
      <c r="C10" t="s">
        <v>371</v>
      </c>
      <c r="D10" t="s">
        <v>372</v>
      </c>
      <c r="E10" t="s">
        <v>16</v>
      </c>
      <c r="F10">
        <v>42.969000000000001</v>
      </c>
      <c r="G10" t="s">
        <v>17</v>
      </c>
      <c r="J10">
        <v>1.28</v>
      </c>
      <c r="K10">
        <v>55</v>
      </c>
      <c r="L10" t="s">
        <v>373</v>
      </c>
    </row>
    <row r="11" spans="1:12" x14ac:dyDescent="0.25">
      <c r="A11" t="s">
        <v>61</v>
      </c>
      <c r="B11" t="s">
        <v>374</v>
      </c>
      <c r="C11" t="s">
        <v>375</v>
      </c>
      <c r="D11" t="s">
        <v>376</v>
      </c>
      <c r="E11" t="s">
        <v>16</v>
      </c>
      <c r="F11">
        <v>44</v>
      </c>
      <c r="G11" t="s">
        <v>17</v>
      </c>
      <c r="J11">
        <v>1.26</v>
      </c>
      <c r="K11">
        <v>55.44</v>
      </c>
      <c r="L11" t="s">
        <v>377</v>
      </c>
    </row>
    <row r="12" spans="1:12" x14ac:dyDescent="0.25">
      <c r="A12" t="s">
        <v>61</v>
      </c>
      <c r="B12" t="s">
        <v>378</v>
      </c>
      <c r="C12" t="s">
        <v>379</v>
      </c>
      <c r="D12" t="s">
        <v>380</v>
      </c>
      <c r="E12" t="s">
        <v>16</v>
      </c>
      <c r="F12">
        <v>40.5979999999999</v>
      </c>
      <c r="G12" t="s">
        <v>17</v>
      </c>
      <c r="J12">
        <v>1.27</v>
      </c>
      <c r="K12">
        <v>51.56</v>
      </c>
      <c r="L12" t="s">
        <v>381</v>
      </c>
    </row>
    <row r="13" spans="1:12" x14ac:dyDescent="0.25">
      <c r="A13" t="s">
        <v>61</v>
      </c>
      <c r="B13" t="s">
        <v>378</v>
      </c>
      <c r="C13" t="s">
        <v>379</v>
      </c>
      <c r="D13" t="s">
        <v>380</v>
      </c>
      <c r="E13" t="s">
        <v>382</v>
      </c>
      <c r="F13">
        <v>1</v>
      </c>
      <c r="G13" t="s">
        <v>152</v>
      </c>
      <c r="J13">
        <v>2.75</v>
      </c>
      <c r="K13">
        <v>2.75</v>
      </c>
      <c r="L13" t="s">
        <v>381</v>
      </c>
    </row>
    <row r="14" spans="1:12" x14ac:dyDescent="0.25">
      <c r="A14" t="s">
        <v>61</v>
      </c>
      <c r="B14" t="s">
        <v>260</v>
      </c>
      <c r="C14" t="s">
        <v>357</v>
      </c>
      <c r="D14" t="s">
        <v>358</v>
      </c>
      <c r="E14" t="s">
        <v>16</v>
      </c>
      <c r="F14">
        <v>55.241999999999898</v>
      </c>
      <c r="G14" t="s">
        <v>17</v>
      </c>
      <c r="J14">
        <v>1.28</v>
      </c>
      <c r="K14">
        <v>70.709999999999994</v>
      </c>
      <c r="L14" t="s">
        <v>383</v>
      </c>
    </row>
    <row r="15" spans="1:12" x14ac:dyDescent="0.25">
      <c r="A15" t="s">
        <v>106</v>
      </c>
      <c r="B15" t="s">
        <v>384</v>
      </c>
      <c r="C15" t="s">
        <v>385</v>
      </c>
      <c r="D15" t="s">
        <v>386</v>
      </c>
      <c r="E15" t="s">
        <v>16</v>
      </c>
      <c r="F15">
        <v>48.241999999999898</v>
      </c>
      <c r="G15" t="s">
        <v>17</v>
      </c>
      <c r="J15">
        <v>1.28</v>
      </c>
      <c r="K15">
        <v>61.75</v>
      </c>
      <c r="L15" t="s">
        <v>387</v>
      </c>
    </row>
    <row r="16" spans="1:12" x14ac:dyDescent="0.25">
      <c r="A16" t="s">
        <v>57</v>
      </c>
      <c r="B16" t="s">
        <v>388</v>
      </c>
      <c r="C16" t="s">
        <v>389</v>
      </c>
      <c r="D16" t="s">
        <v>390</v>
      </c>
      <c r="E16" t="s">
        <v>16</v>
      </c>
      <c r="F16">
        <v>45.938000000000002</v>
      </c>
      <c r="G16" t="s">
        <v>17</v>
      </c>
      <c r="J16">
        <v>1.28</v>
      </c>
      <c r="K16">
        <v>58.8</v>
      </c>
      <c r="L16" t="s">
        <v>306</v>
      </c>
    </row>
    <row r="17" spans="1:12" x14ac:dyDescent="0.25">
      <c r="A17" t="s">
        <v>57</v>
      </c>
      <c r="B17" t="s">
        <v>268</v>
      </c>
      <c r="C17" t="s">
        <v>391</v>
      </c>
      <c r="D17" t="s">
        <v>392</v>
      </c>
      <c r="E17" t="s">
        <v>16</v>
      </c>
      <c r="F17">
        <v>125.53100000000001</v>
      </c>
      <c r="G17" t="s">
        <v>17</v>
      </c>
      <c r="J17">
        <v>1.28</v>
      </c>
      <c r="K17">
        <v>160.68</v>
      </c>
      <c r="L17" t="s">
        <v>393</v>
      </c>
    </row>
    <row r="18" spans="1:12" x14ac:dyDescent="0.25">
      <c r="A18" t="s">
        <v>76</v>
      </c>
      <c r="B18" t="s">
        <v>388</v>
      </c>
      <c r="C18" t="s">
        <v>394</v>
      </c>
      <c r="D18" t="s">
        <v>395</v>
      </c>
      <c r="E18" t="s">
        <v>65</v>
      </c>
      <c r="F18">
        <v>41.823999999999899</v>
      </c>
      <c r="G18" t="s">
        <v>17</v>
      </c>
      <c r="J18">
        <v>1.25</v>
      </c>
      <c r="K18">
        <v>52.28</v>
      </c>
      <c r="L18" t="s">
        <v>396</v>
      </c>
    </row>
    <row r="19" spans="1:12" x14ac:dyDescent="0.25">
      <c r="A19" t="s">
        <v>76</v>
      </c>
      <c r="B19" t="s">
        <v>160</v>
      </c>
      <c r="C19" t="s">
        <v>397</v>
      </c>
      <c r="D19" t="s">
        <v>398</v>
      </c>
      <c r="E19" t="s">
        <v>16</v>
      </c>
      <c r="F19">
        <v>39.023000000000003</v>
      </c>
      <c r="G19" t="s">
        <v>17</v>
      </c>
      <c r="J19">
        <v>1.28</v>
      </c>
      <c r="K19">
        <v>49.95</v>
      </c>
      <c r="L19" t="s">
        <v>399</v>
      </c>
    </row>
    <row r="20" spans="1:12" x14ac:dyDescent="0.25">
      <c r="A20" t="s">
        <v>76</v>
      </c>
      <c r="B20" t="s">
        <v>160</v>
      </c>
      <c r="C20" t="s">
        <v>400</v>
      </c>
      <c r="D20" t="s">
        <v>401</v>
      </c>
      <c r="E20" t="s">
        <v>16</v>
      </c>
      <c r="F20">
        <v>30.07</v>
      </c>
      <c r="G20" t="s">
        <v>17</v>
      </c>
      <c r="J20">
        <v>1.28</v>
      </c>
      <c r="K20">
        <v>38.49</v>
      </c>
      <c r="L20" t="s">
        <v>229</v>
      </c>
    </row>
    <row r="21" spans="1:12" x14ac:dyDescent="0.25">
      <c r="A21" t="s">
        <v>76</v>
      </c>
      <c r="B21" t="s">
        <v>227</v>
      </c>
      <c r="C21" t="s">
        <v>402</v>
      </c>
      <c r="D21" t="s">
        <v>403</v>
      </c>
      <c r="E21" t="s">
        <v>16</v>
      </c>
      <c r="F21">
        <v>58.008000000000003</v>
      </c>
      <c r="G21" t="s">
        <v>17</v>
      </c>
      <c r="J21">
        <v>1.27</v>
      </c>
      <c r="K21">
        <v>73.67</v>
      </c>
      <c r="L21" t="s">
        <v>334</v>
      </c>
    </row>
    <row r="22" spans="1:12" x14ac:dyDescent="0.25">
      <c r="A22" t="s">
        <v>76</v>
      </c>
      <c r="B22" t="s">
        <v>404</v>
      </c>
      <c r="C22" t="s">
        <v>405</v>
      </c>
      <c r="D22" t="s">
        <v>406</v>
      </c>
      <c r="E22" t="s">
        <v>16</v>
      </c>
      <c r="F22">
        <v>36.046999999999898</v>
      </c>
      <c r="G22" t="s">
        <v>17</v>
      </c>
      <c r="J22">
        <v>1.28</v>
      </c>
      <c r="K22">
        <v>46.14</v>
      </c>
      <c r="L22" t="s">
        <v>359</v>
      </c>
    </row>
    <row r="23" spans="1:12" x14ac:dyDescent="0.25">
      <c r="A23" t="s">
        <v>76</v>
      </c>
      <c r="B23" t="s">
        <v>407</v>
      </c>
      <c r="C23" t="s">
        <v>408</v>
      </c>
      <c r="D23" t="s">
        <v>409</v>
      </c>
      <c r="E23" t="s">
        <v>16</v>
      </c>
      <c r="F23">
        <v>54</v>
      </c>
      <c r="G23" t="s">
        <v>17</v>
      </c>
      <c r="J23">
        <v>1.28</v>
      </c>
      <c r="K23">
        <v>69.12</v>
      </c>
      <c r="L23" t="s">
        <v>410</v>
      </c>
    </row>
    <row r="24" spans="1:12" x14ac:dyDescent="0.25">
      <c r="A24" t="s">
        <v>76</v>
      </c>
      <c r="B24" t="s">
        <v>348</v>
      </c>
      <c r="C24" t="s">
        <v>360</v>
      </c>
      <c r="D24" t="s">
        <v>361</v>
      </c>
      <c r="E24" t="s">
        <v>16</v>
      </c>
      <c r="F24">
        <v>61.5</v>
      </c>
      <c r="G24" t="s">
        <v>17</v>
      </c>
      <c r="J24">
        <v>1.28</v>
      </c>
      <c r="K24">
        <v>78.72</v>
      </c>
      <c r="L24" t="s">
        <v>411</v>
      </c>
    </row>
    <row r="25" spans="1:12" x14ac:dyDescent="0.25">
      <c r="A25" t="s">
        <v>76</v>
      </c>
      <c r="B25" t="s">
        <v>412</v>
      </c>
      <c r="C25" t="s">
        <v>357</v>
      </c>
      <c r="D25" t="s">
        <v>358</v>
      </c>
      <c r="E25" t="s">
        <v>16</v>
      </c>
      <c r="F25">
        <v>35.290999999999897</v>
      </c>
      <c r="G25" t="s">
        <v>17</v>
      </c>
      <c r="J25">
        <v>1.27</v>
      </c>
      <c r="K25">
        <v>44.82</v>
      </c>
      <c r="L25" t="s">
        <v>413</v>
      </c>
    </row>
    <row r="26" spans="1:12" x14ac:dyDescent="0.25">
      <c r="A26" t="s">
        <v>76</v>
      </c>
      <c r="B26" t="s">
        <v>260</v>
      </c>
      <c r="C26" t="s">
        <v>414</v>
      </c>
      <c r="D26" t="s">
        <v>415</v>
      </c>
      <c r="E26" t="s">
        <v>416</v>
      </c>
      <c r="F26">
        <v>1</v>
      </c>
      <c r="G26" t="s">
        <v>152</v>
      </c>
      <c r="J26">
        <v>1.94</v>
      </c>
      <c r="K26">
        <v>1.94</v>
      </c>
      <c r="L26" t="s">
        <v>417</v>
      </c>
    </row>
    <row r="27" spans="1:12" x14ac:dyDescent="0.25">
      <c r="A27" t="s">
        <v>24</v>
      </c>
      <c r="B27" t="s">
        <v>353</v>
      </c>
      <c r="C27" t="s">
        <v>354</v>
      </c>
      <c r="D27" t="s">
        <v>355</v>
      </c>
      <c r="E27" t="s">
        <v>16</v>
      </c>
      <c r="F27">
        <v>34.273000000000003</v>
      </c>
      <c r="G27" t="s">
        <v>17</v>
      </c>
      <c r="J27">
        <v>1.28</v>
      </c>
      <c r="K27">
        <v>43.87</v>
      </c>
      <c r="L27" t="s">
        <v>418</v>
      </c>
    </row>
    <row r="28" spans="1:12" x14ac:dyDescent="0.25">
      <c r="A28" t="s">
        <v>24</v>
      </c>
      <c r="B28" t="s">
        <v>419</v>
      </c>
      <c r="C28" t="s">
        <v>420</v>
      </c>
      <c r="D28" t="s">
        <v>421</v>
      </c>
      <c r="E28" t="s">
        <v>16</v>
      </c>
      <c r="F28">
        <v>44.213000000000001</v>
      </c>
      <c r="G28" t="s">
        <v>17</v>
      </c>
      <c r="J28">
        <v>1.27</v>
      </c>
      <c r="K28">
        <v>56.15</v>
      </c>
      <c r="L28" t="s">
        <v>422</v>
      </c>
    </row>
    <row r="29" spans="1:12" x14ac:dyDescent="0.25">
      <c r="A29" t="s">
        <v>24</v>
      </c>
      <c r="B29" t="s">
        <v>423</v>
      </c>
      <c r="C29" t="s">
        <v>360</v>
      </c>
      <c r="D29" t="s">
        <v>361</v>
      </c>
      <c r="E29" t="s">
        <v>16</v>
      </c>
      <c r="F29">
        <v>30</v>
      </c>
      <c r="G29" t="s">
        <v>17</v>
      </c>
      <c r="J29">
        <v>1.28</v>
      </c>
      <c r="K29">
        <v>38.4</v>
      </c>
      <c r="L29" t="s">
        <v>424</v>
      </c>
    </row>
    <row r="30" spans="1:12" x14ac:dyDescent="0.25">
      <c r="A30" t="s">
        <v>24</v>
      </c>
      <c r="B30" t="s">
        <v>260</v>
      </c>
      <c r="C30" t="s">
        <v>357</v>
      </c>
      <c r="D30" t="s">
        <v>358</v>
      </c>
      <c r="E30" t="s">
        <v>16</v>
      </c>
      <c r="F30">
        <v>31.030999999999899</v>
      </c>
      <c r="G30" t="s">
        <v>17</v>
      </c>
      <c r="J30">
        <v>1.28</v>
      </c>
      <c r="K30">
        <v>39.72</v>
      </c>
      <c r="L30" t="s">
        <v>283</v>
      </c>
    </row>
    <row r="31" spans="1:12" x14ac:dyDescent="0.25">
      <c r="A31" t="s">
        <v>28</v>
      </c>
      <c r="B31" t="s">
        <v>148</v>
      </c>
      <c r="C31" t="s">
        <v>360</v>
      </c>
      <c r="D31" t="s">
        <v>361</v>
      </c>
      <c r="E31" t="s">
        <v>16</v>
      </c>
      <c r="F31">
        <v>46.813000000000002</v>
      </c>
      <c r="G31" t="s">
        <v>17</v>
      </c>
      <c r="J31">
        <v>1.28</v>
      </c>
      <c r="K31">
        <v>59.92</v>
      </c>
      <c r="L31" t="s">
        <v>411</v>
      </c>
    </row>
    <row r="32" spans="1:12" x14ac:dyDescent="0.25">
      <c r="A32" t="s">
        <v>28</v>
      </c>
      <c r="B32" t="s">
        <v>425</v>
      </c>
      <c r="C32" t="s">
        <v>426</v>
      </c>
      <c r="D32" t="s">
        <v>427</v>
      </c>
      <c r="E32" t="s">
        <v>16</v>
      </c>
      <c r="F32">
        <v>47</v>
      </c>
      <c r="G32" t="s">
        <v>17</v>
      </c>
      <c r="J32">
        <v>1.27</v>
      </c>
      <c r="K32">
        <v>59.69</v>
      </c>
      <c r="L32" t="s">
        <v>417</v>
      </c>
    </row>
    <row r="33" spans="1:12" x14ac:dyDescent="0.25">
      <c r="A33" t="s">
        <v>28</v>
      </c>
      <c r="B33" t="s">
        <v>425</v>
      </c>
      <c r="C33" t="s">
        <v>426</v>
      </c>
      <c r="D33" t="s">
        <v>427</v>
      </c>
      <c r="E33" t="s">
        <v>222</v>
      </c>
      <c r="F33">
        <v>1</v>
      </c>
      <c r="G33" t="s">
        <v>152</v>
      </c>
      <c r="J33">
        <v>11.75</v>
      </c>
      <c r="K33">
        <v>11.75</v>
      </c>
      <c r="L33" t="s">
        <v>417</v>
      </c>
    </row>
    <row r="34" spans="1:12" x14ac:dyDescent="0.25">
      <c r="A34" t="s">
        <v>28</v>
      </c>
      <c r="B34" t="s">
        <v>374</v>
      </c>
      <c r="C34" t="s">
        <v>375</v>
      </c>
      <c r="D34" t="s">
        <v>376</v>
      </c>
      <c r="E34" t="s">
        <v>16</v>
      </c>
      <c r="F34">
        <v>47</v>
      </c>
      <c r="G34" t="s">
        <v>17</v>
      </c>
      <c r="J34">
        <v>1.26</v>
      </c>
      <c r="K34">
        <v>59.22</v>
      </c>
      <c r="L34" t="s">
        <v>324</v>
      </c>
    </row>
    <row r="35" spans="1:12" x14ac:dyDescent="0.25">
      <c r="A35" t="s">
        <v>28</v>
      </c>
      <c r="B35" t="s">
        <v>378</v>
      </c>
      <c r="C35" t="s">
        <v>379</v>
      </c>
      <c r="D35" t="s">
        <v>380</v>
      </c>
      <c r="E35" t="s">
        <v>16</v>
      </c>
      <c r="F35">
        <v>37.7869999999999</v>
      </c>
      <c r="G35" t="s">
        <v>17</v>
      </c>
      <c r="J35">
        <v>1.27</v>
      </c>
      <c r="K35">
        <v>47.99</v>
      </c>
      <c r="L35" t="s">
        <v>143</v>
      </c>
    </row>
    <row r="36" spans="1:12" x14ac:dyDescent="0.25">
      <c r="A36" t="s">
        <v>28</v>
      </c>
      <c r="B36" t="s">
        <v>363</v>
      </c>
      <c r="C36" t="s">
        <v>357</v>
      </c>
      <c r="D36" t="s">
        <v>358</v>
      </c>
      <c r="E36" t="s">
        <v>16</v>
      </c>
      <c r="F36">
        <v>42.828000000000003</v>
      </c>
      <c r="G36" t="s">
        <v>17</v>
      </c>
      <c r="J36">
        <v>1.28</v>
      </c>
      <c r="K36">
        <v>54.82</v>
      </c>
      <c r="L36" t="s">
        <v>428</v>
      </c>
    </row>
    <row r="37" spans="1:12" x14ac:dyDescent="0.25">
      <c r="A37" t="s">
        <v>28</v>
      </c>
      <c r="B37" t="s">
        <v>363</v>
      </c>
      <c r="C37" t="s">
        <v>357</v>
      </c>
      <c r="D37" t="s">
        <v>358</v>
      </c>
      <c r="E37" t="s">
        <v>222</v>
      </c>
      <c r="F37">
        <v>1</v>
      </c>
      <c r="G37" t="s">
        <v>152</v>
      </c>
      <c r="J37">
        <v>11.24</v>
      </c>
      <c r="K37">
        <v>11.24</v>
      </c>
      <c r="L37" t="s">
        <v>428</v>
      </c>
    </row>
    <row r="38" spans="1:12" x14ac:dyDescent="0.25">
      <c r="A38" t="s">
        <v>28</v>
      </c>
      <c r="B38" t="s">
        <v>412</v>
      </c>
      <c r="C38" t="s">
        <v>371</v>
      </c>
      <c r="D38" t="s">
        <v>372</v>
      </c>
      <c r="E38" t="s">
        <v>16</v>
      </c>
      <c r="F38">
        <v>50.386000000000003</v>
      </c>
      <c r="G38" t="s">
        <v>17</v>
      </c>
      <c r="J38">
        <v>1.27</v>
      </c>
      <c r="K38">
        <v>63.99</v>
      </c>
      <c r="L38" t="s">
        <v>429</v>
      </c>
    </row>
    <row r="39" spans="1:12" x14ac:dyDescent="0.25">
      <c r="A39" t="s">
        <v>28</v>
      </c>
      <c r="B39" t="s">
        <v>13</v>
      </c>
      <c r="C39" t="s">
        <v>430</v>
      </c>
      <c r="D39" t="s">
        <v>431</v>
      </c>
      <c r="E39" t="s">
        <v>16</v>
      </c>
      <c r="F39">
        <v>44.81</v>
      </c>
      <c r="G39" t="s">
        <v>17</v>
      </c>
      <c r="J39">
        <v>1.26</v>
      </c>
      <c r="K39">
        <v>56.46</v>
      </c>
      <c r="L39" t="s">
        <v>274</v>
      </c>
    </row>
    <row r="40" spans="1:12" x14ac:dyDescent="0.25">
      <c r="A40" t="s">
        <v>32</v>
      </c>
      <c r="B40" t="s">
        <v>128</v>
      </c>
      <c r="C40" t="s">
        <v>432</v>
      </c>
      <c r="D40" t="s">
        <v>433</v>
      </c>
      <c r="E40" t="s">
        <v>16</v>
      </c>
      <c r="F40">
        <v>46.537999999999897</v>
      </c>
      <c r="G40" t="s">
        <v>17</v>
      </c>
      <c r="J40">
        <v>1.3</v>
      </c>
      <c r="K40">
        <v>60.5</v>
      </c>
      <c r="L40" t="s">
        <v>434</v>
      </c>
    </row>
    <row r="41" spans="1:12" x14ac:dyDescent="0.25">
      <c r="A41" t="s">
        <v>32</v>
      </c>
      <c r="B41" t="s">
        <v>435</v>
      </c>
      <c r="C41" t="s">
        <v>436</v>
      </c>
      <c r="D41" t="s">
        <v>437</v>
      </c>
      <c r="E41" t="s">
        <v>16</v>
      </c>
      <c r="F41">
        <v>44.825000000000003</v>
      </c>
      <c r="G41" t="s">
        <v>17</v>
      </c>
      <c r="J41">
        <v>1.26</v>
      </c>
      <c r="K41">
        <v>56.48</v>
      </c>
      <c r="L41" t="s">
        <v>438</v>
      </c>
    </row>
    <row r="42" spans="1:12" x14ac:dyDescent="0.25">
      <c r="A42" t="s">
        <v>32</v>
      </c>
      <c r="B42" t="s">
        <v>412</v>
      </c>
      <c r="C42" t="s">
        <v>439</v>
      </c>
      <c r="D42" t="s">
        <v>440</v>
      </c>
      <c r="E42" t="s">
        <v>16</v>
      </c>
      <c r="F42">
        <v>37.008000000000003</v>
      </c>
      <c r="G42" t="s">
        <v>17</v>
      </c>
      <c r="J42">
        <v>1.27</v>
      </c>
      <c r="K42">
        <v>47</v>
      </c>
      <c r="L42" t="s">
        <v>441</v>
      </c>
    </row>
    <row r="43" spans="1:12" x14ac:dyDescent="0.25">
      <c r="A43" t="s">
        <v>32</v>
      </c>
      <c r="B43" t="s">
        <v>260</v>
      </c>
      <c r="C43" t="s">
        <v>357</v>
      </c>
      <c r="D43" t="s">
        <v>358</v>
      </c>
      <c r="E43" t="s">
        <v>16</v>
      </c>
      <c r="F43">
        <v>40</v>
      </c>
      <c r="G43" t="s">
        <v>17</v>
      </c>
      <c r="J43">
        <v>1.28</v>
      </c>
      <c r="K43">
        <v>51.2</v>
      </c>
      <c r="L43" t="s">
        <v>442</v>
      </c>
    </row>
    <row r="44" spans="1:12" x14ac:dyDescent="0.25">
      <c r="A44" t="s">
        <v>85</v>
      </c>
      <c r="B44" t="s">
        <v>404</v>
      </c>
      <c r="C44" t="s">
        <v>405</v>
      </c>
      <c r="D44" t="s">
        <v>406</v>
      </c>
      <c r="E44" t="s">
        <v>16</v>
      </c>
      <c r="F44">
        <v>37</v>
      </c>
      <c r="G44" t="s">
        <v>17</v>
      </c>
      <c r="J44">
        <v>1.28</v>
      </c>
      <c r="K44">
        <v>47.36</v>
      </c>
      <c r="L44" t="s">
        <v>443</v>
      </c>
    </row>
    <row r="45" spans="1:12" x14ac:dyDescent="0.25">
      <c r="A45" t="s">
        <v>85</v>
      </c>
      <c r="B45" t="s">
        <v>384</v>
      </c>
      <c r="C45" t="s">
        <v>385</v>
      </c>
      <c r="D45" t="s">
        <v>386</v>
      </c>
      <c r="E45" t="s">
        <v>16</v>
      </c>
      <c r="F45">
        <v>53.578000000000003</v>
      </c>
      <c r="G45" t="s">
        <v>17</v>
      </c>
      <c r="J45">
        <v>1.28</v>
      </c>
      <c r="K45">
        <v>68.58</v>
      </c>
      <c r="L45" t="s">
        <v>444</v>
      </c>
    </row>
    <row r="46" spans="1:12" x14ac:dyDescent="0.25">
      <c r="A46" t="s">
        <v>118</v>
      </c>
      <c r="B46" t="s">
        <v>136</v>
      </c>
      <c r="C46" t="s">
        <v>445</v>
      </c>
      <c r="D46" t="s">
        <v>446</v>
      </c>
      <c r="E46" t="s">
        <v>16</v>
      </c>
      <c r="F46">
        <v>20.094000000000001</v>
      </c>
      <c r="G46" t="s">
        <v>17</v>
      </c>
      <c r="J46">
        <v>1.28</v>
      </c>
      <c r="K46">
        <v>25.72</v>
      </c>
      <c r="L46" t="s">
        <v>447</v>
      </c>
    </row>
    <row r="47" spans="1:12" x14ac:dyDescent="0.25">
      <c r="A47" t="s">
        <v>118</v>
      </c>
      <c r="B47" t="s">
        <v>348</v>
      </c>
      <c r="C47" t="s">
        <v>360</v>
      </c>
      <c r="D47" t="s">
        <v>361</v>
      </c>
      <c r="E47" t="s">
        <v>16</v>
      </c>
      <c r="F47">
        <v>41.296999999999898</v>
      </c>
      <c r="G47" t="s">
        <v>17</v>
      </c>
      <c r="J47">
        <v>1.28</v>
      </c>
      <c r="K47">
        <v>52.86</v>
      </c>
      <c r="L47" t="s">
        <v>77</v>
      </c>
    </row>
    <row r="48" spans="1:12" x14ac:dyDescent="0.25">
      <c r="A48" t="s">
        <v>118</v>
      </c>
      <c r="B48" t="s">
        <v>412</v>
      </c>
      <c r="C48" t="s">
        <v>357</v>
      </c>
      <c r="D48" t="s">
        <v>358</v>
      </c>
      <c r="E48" t="s">
        <v>16</v>
      </c>
      <c r="F48">
        <v>30.449000000000002</v>
      </c>
      <c r="G48" t="s">
        <v>17</v>
      </c>
      <c r="J48">
        <v>1.27</v>
      </c>
      <c r="K48">
        <v>38.67</v>
      </c>
      <c r="L48" t="s">
        <v>448</v>
      </c>
    </row>
    <row r="49" spans="1:12" x14ac:dyDescent="0.25">
      <c r="A49" t="s">
        <v>118</v>
      </c>
      <c r="B49" t="s">
        <v>412</v>
      </c>
      <c r="C49" t="s">
        <v>357</v>
      </c>
      <c r="D49" t="s">
        <v>358</v>
      </c>
      <c r="E49" t="s">
        <v>449</v>
      </c>
      <c r="F49">
        <v>1</v>
      </c>
      <c r="G49" t="s">
        <v>152</v>
      </c>
      <c r="J49">
        <v>6.13</v>
      </c>
      <c r="K49">
        <v>6.13</v>
      </c>
      <c r="L49" t="s">
        <v>448</v>
      </c>
    </row>
    <row r="50" spans="1:12" x14ac:dyDescent="0.25">
      <c r="A50" t="s">
        <v>36</v>
      </c>
      <c r="B50" t="s">
        <v>425</v>
      </c>
      <c r="C50" t="s">
        <v>426</v>
      </c>
      <c r="D50" t="s">
        <v>427</v>
      </c>
      <c r="E50" t="s">
        <v>16</v>
      </c>
      <c r="F50">
        <v>52</v>
      </c>
      <c r="G50" t="s">
        <v>17</v>
      </c>
      <c r="J50">
        <v>1.27</v>
      </c>
      <c r="K50">
        <v>66.040000000000006</v>
      </c>
      <c r="L50" t="s">
        <v>450</v>
      </c>
    </row>
    <row r="51" spans="1:12" x14ac:dyDescent="0.25">
      <c r="A51" t="s">
        <v>36</v>
      </c>
      <c r="B51" t="s">
        <v>374</v>
      </c>
      <c r="C51" t="s">
        <v>375</v>
      </c>
      <c r="D51" t="s">
        <v>376</v>
      </c>
      <c r="E51" t="s">
        <v>16</v>
      </c>
      <c r="F51">
        <v>43</v>
      </c>
      <c r="G51" t="s">
        <v>17</v>
      </c>
      <c r="J51">
        <v>1.26</v>
      </c>
      <c r="K51">
        <v>54.18</v>
      </c>
      <c r="L51" t="s">
        <v>451</v>
      </c>
    </row>
    <row r="52" spans="1:12" x14ac:dyDescent="0.25">
      <c r="A52" t="s">
        <v>36</v>
      </c>
      <c r="B52" t="s">
        <v>388</v>
      </c>
      <c r="C52" t="s">
        <v>389</v>
      </c>
      <c r="D52" t="s">
        <v>390</v>
      </c>
      <c r="E52" t="s">
        <v>16</v>
      </c>
      <c r="F52">
        <v>42.796999999999898</v>
      </c>
      <c r="G52" t="s">
        <v>17</v>
      </c>
      <c r="J52">
        <v>1.28</v>
      </c>
      <c r="K52">
        <v>54.78</v>
      </c>
      <c r="L52" t="s">
        <v>452</v>
      </c>
    </row>
    <row r="53" spans="1:12" x14ac:dyDescent="0.25">
      <c r="A53" t="s">
        <v>36</v>
      </c>
      <c r="B53" t="s">
        <v>268</v>
      </c>
      <c r="C53" t="s">
        <v>371</v>
      </c>
      <c r="D53" t="s">
        <v>372</v>
      </c>
      <c r="E53" t="s">
        <v>16</v>
      </c>
      <c r="F53">
        <v>22.547000000000001</v>
      </c>
      <c r="G53" t="s">
        <v>17</v>
      </c>
      <c r="J53">
        <v>1.28</v>
      </c>
      <c r="K53">
        <v>28.86</v>
      </c>
      <c r="L53" t="s">
        <v>450</v>
      </c>
    </row>
    <row r="54" spans="1:12" x14ac:dyDescent="0.25">
      <c r="A54" t="s">
        <v>36</v>
      </c>
      <c r="B54" t="s">
        <v>13</v>
      </c>
      <c r="C54" t="s">
        <v>430</v>
      </c>
      <c r="D54" t="s">
        <v>431</v>
      </c>
      <c r="E54" t="s">
        <v>16</v>
      </c>
      <c r="F54">
        <v>45.468000000000004</v>
      </c>
      <c r="G54" t="s">
        <v>17</v>
      </c>
      <c r="J54">
        <v>1.26</v>
      </c>
      <c r="K54">
        <v>57.29</v>
      </c>
      <c r="L54" t="s">
        <v>453</v>
      </c>
    </row>
    <row r="55" spans="1:12" x14ac:dyDescent="0.25">
      <c r="A55" t="s">
        <v>36</v>
      </c>
      <c r="B55" t="s">
        <v>423</v>
      </c>
      <c r="C55" t="s">
        <v>360</v>
      </c>
      <c r="D55" t="s">
        <v>361</v>
      </c>
      <c r="E55" t="s">
        <v>16</v>
      </c>
      <c r="F55">
        <v>20.0079999999999</v>
      </c>
      <c r="G55" t="s">
        <v>17</v>
      </c>
      <c r="J55">
        <v>1.28</v>
      </c>
      <c r="K55">
        <v>25.61</v>
      </c>
      <c r="L55" t="s">
        <v>454</v>
      </c>
    </row>
    <row r="56" spans="1:12" x14ac:dyDescent="0.25">
      <c r="A56" t="s">
        <v>36</v>
      </c>
      <c r="B56" t="s">
        <v>260</v>
      </c>
      <c r="C56" t="s">
        <v>357</v>
      </c>
      <c r="D56" t="s">
        <v>358</v>
      </c>
      <c r="E56" t="s">
        <v>16</v>
      </c>
      <c r="F56">
        <v>36.601999999999897</v>
      </c>
      <c r="G56" t="s">
        <v>17</v>
      </c>
      <c r="J56">
        <v>1.28</v>
      </c>
      <c r="K56">
        <v>46.85</v>
      </c>
      <c r="L56" t="s">
        <v>455</v>
      </c>
    </row>
    <row r="57" spans="1:12" x14ac:dyDescent="0.25">
      <c r="A57" t="s">
        <v>127</v>
      </c>
      <c r="B57" t="s">
        <v>456</v>
      </c>
      <c r="C57" t="s">
        <v>436</v>
      </c>
      <c r="D57" t="s">
        <v>437</v>
      </c>
      <c r="E57" t="s">
        <v>16</v>
      </c>
      <c r="F57">
        <v>37.890999999999899</v>
      </c>
      <c r="G57" t="s">
        <v>17</v>
      </c>
      <c r="J57">
        <v>1.28</v>
      </c>
      <c r="K57">
        <v>48.5</v>
      </c>
      <c r="L57" t="s">
        <v>88</v>
      </c>
    </row>
    <row r="58" spans="1:12" x14ac:dyDescent="0.25">
      <c r="A58" t="s">
        <v>127</v>
      </c>
      <c r="B58" t="s">
        <v>407</v>
      </c>
      <c r="C58" t="s">
        <v>408</v>
      </c>
      <c r="D58" t="s">
        <v>409</v>
      </c>
      <c r="E58" t="s">
        <v>16</v>
      </c>
      <c r="F58">
        <v>49</v>
      </c>
      <c r="G58" t="s">
        <v>17</v>
      </c>
      <c r="J58">
        <v>1.28</v>
      </c>
      <c r="K58">
        <v>62.72</v>
      </c>
      <c r="L58" t="s">
        <v>457</v>
      </c>
    </row>
    <row r="59" spans="1:12" x14ac:dyDescent="0.25">
      <c r="A59" t="s">
        <v>127</v>
      </c>
      <c r="B59" t="s">
        <v>363</v>
      </c>
      <c r="C59" t="s">
        <v>357</v>
      </c>
      <c r="D59" t="s">
        <v>358</v>
      </c>
      <c r="E59" t="s">
        <v>16</v>
      </c>
      <c r="F59">
        <v>44.438000000000002</v>
      </c>
      <c r="G59" t="s">
        <v>17</v>
      </c>
      <c r="J59">
        <v>1.28</v>
      </c>
      <c r="K59">
        <v>56.88</v>
      </c>
      <c r="L59" t="s">
        <v>458</v>
      </c>
    </row>
    <row r="60" spans="1:12" x14ac:dyDescent="0.25">
      <c r="A60" t="s">
        <v>38</v>
      </c>
      <c r="B60" t="s">
        <v>136</v>
      </c>
      <c r="C60" t="s">
        <v>445</v>
      </c>
      <c r="D60" t="s">
        <v>446</v>
      </c>
      <c r="E60" t="s">
        <v>16</v>
      </c>
      <c r="F60">
        <v>26.102</v>
      </c>
      <c r="G60" t="s">
        <v>17</v>
      </c>
      <c r="J60">
        <v>1.28</v>
      </c>
      <c r="K60">
        <v>33.409999999999997</v>
      </c>
      <c r="L60" t="s">
        <v>459</v>
      </c>
    </row>
    <row r="61" spans="1:12" x14ac:dyDescent="0.25">
      <c r="A61" t="s">
        <v>38</v>
      </c>
      <c r="B61" t="s">
        <v>268</v>
      </c>
      <c r="C61" t="s">
        <v>360</v>
      </c>
      <c r="D61" t="s">
        <v>361</v>
      </c>
      <c r="E61" t="s">
        <v>16</v>
      </c>
      <c r="F61">
        <v>49.898000000000003</v>
      </c>
      <c r="G61" t="s">
        <v>17</v>
      </c>
      <c r="J61">
        <v>1.28</v>
      </c>
      <c r="K61">
        <v>63.87</v>
      </c>
      <c r="L61" t="s">
        <v>202</v>
      </c>
    </row>
    <row r="62" spans="1:12" x14ac:dyDescent="0.25">
      <c r="A62" t="s">
        <v>101</v>
      </c>
      <c r="B62" t="s">
        <v>353</v>
      </c>
      <c r="C62" t="s">
        <v>354</v>
      </c>
      <c r="D62" t="s">
        <v>355</v>
      </c>
      <c r="E62" t="s">
        <v>16</v>
      </c>
      <c r="F62">
        <v>37</v>
      </c>
      <c r="G62" t="s">
        <v>17</v>
      </c>
      <c r="J62">
        <v>1.29</v>
      </c>
      <c r="K62">
        <v>47.73</v>
      </c>
      <c r="L62" t="s">
        <v>460</v>
      </c>
    </row>
    <row r="63" spans="1:12" x14ac:dyDescent="0.25">
      <c r="A63" t="s">
        <v>101</v>
      </c>
      <c r="B63" t="s">
        <v>378</v>
      </c>
      <c r="C63" t="s">
        <v>379</v>
      </c>
      <c r="D63" t="s">
        <v>380</v>
      </c>
      <c r="E63" t="s">
        <v>16</v>
      </c>
      <c r="F63">
        <v>43.07</v>
      </c>
      <c r="G63" t="s">
        <v>17</v>
      </c>
      <c r="J63">
        <v>1.28</v>
      </c>
      <c r="K63">
        <v>55.13</v>
      </c>
      <c r="L63" t="s">
        <v>461</v>
      </c>
    </row>
    <row r="64" spans="1:12" x14ac:dyDescent="0.25">
      <c r="A64" t="s">
        <v>101</v>
      </c>
      <c r="B64" t="s">
        <v>378</v>
      </c>
      <c r="C64" t="s">
        <v>379</v>
      </c>
      <c r="D64" t="s">
        <v>380</v>
      </c>
      <c r="E64" t="s">
        <v>462</v>
      </c>
      <c r="F64">
        <v>1</v>
      </c>
      <c r="G64" t="s">
        <v>152</v>
      </c>
      <c r="J64">
        <v>1.22</v>
      </c>
      <c r="K64">
        <v>1.22</v>
      </c>
      <c r="L64" t="s">
        <v>461</v>
      </c>
    </row>
    <row r="65" spans="1:12" x14ac:dyDescent="0.25">
      <c r="A65" t="s">
        <v>101</v>
      </c>
      <c r="B65" t="s">
        <v>378</v>
      </c>
      <c r="C65" t="s">
        <v>379</v>
      </c>
      <c r="D65" t="s">
        <v>380</v>
      </c>
      <c r="E65" t="s">
        <v>185</v>
      </c>
      <c r="F65">
        <v>1</v>
      </c>
      <c r="G65" t="s">
        <v>152</v>
      </c>
      <c r="J65">
        <v>7.92</v>
      </c>
      <c r="K65">
        <v>7.92</v>
      </c>
      <c r="L65" t="s">
        <v>461</v>
      </c>
    </row>
    <row r="66" spans="1:12" x14ac:dyDescent="0.25">
      <c r="A66" t="s">
        <v>101</v>
      </c>
      <c r="B66" t="s">
        <v>463</v>
      </c>
      <c r="C66" t="s">
        <v>436</v>
      </c>
      <c r="D66" t="s">
        <v>437</v>
      </c>
      <c r="E66" t="s">
        <v>185</v>
      </c>
      <c r="F66">
        <v>1</v>
      </c>
      <c r="G66" t="s">
        <v>152</v>
      </c>
      <c r="J66">
        <v>8.43</v>
      </c>
      <c r="K66">
        <v>8.43</v>
      </c>
      <c r="L66" t="s">
        <v>450</v>
      </c>
    </row>
    <row r="67" spans="1:12" x14ac:dyDescent="0.25">
      <c r="A67" t="s">
        <v>101</v>
      </c>
      <c r="B67" t="s">
        <v>160</v>
      </c>
      <c r="C67" t="s">
        <v>397</v>
      </c>
      <c r="D67" t="s">
        <v>398</v>
      </c>
      <c r="E67" t="s">
        <v>16</v>
      </c>
      <c r="F67">
        <v>39.752000000000002</v>
      </c>
      <c r="G67" t="s">
        <v>17</v>
      </c>
      <c r="J67">
        <v>1.29</v>
      </c>
      <c r="K67">
        <v>51.28</v>
      </c>
      <c r="L67" t="s">
        <v>464</v>
      </c>
    </row>
    <row r="68" spans="1:12" x14ac:dyDescent="0.25">
      <c r="A68" t="s">
        <v>101</v>
      </c>
      <c r="B68" t="s">
        <v>160</v>
      </c>
      <c r="C68" t="s">
        <v>397</v>
      </c>
      <c r="D68" t="s">
        <v>398</v>
      </c>
      <c r="E68" t="s">
        <v>185</v>
      </c>
      <c r="F68">
        <v>1</v>
      </c>
      <c r="G68" t="s">
        <v>152</v>
      </c>
      <c r="J68">
        <v>8.18</v>
      </c>
      <c r="K68">
        <v>8.18</v>
      </c>
      <c r="L68" t="s">
        <v>464</v>
      </c>
    </row>
    <row r="69" spans="1:12" x14ac:dyDescent="0.25">
      <c r="A69" t="s">
        <v>101</v>
      </c>
      <c r="B69" t="s">
        <v>160</v>
      </c>
      <c r="C69" t="s">
        <v>400</v>
      </c>
      <c r="D69" t="s">
        <v>401</v>
      </c>
      <c r="E69" t="s">
        <v>16</v>
      </c>
      <c r="F69">
        <v>22.3569999999999</v>
      </c>
      <c r="G69" t="s">
        <v>17</v>
      </c>
      <c r="J69">
        <v>1.29</v>
      </c>
      <c r="K69">
        <v>28.84</v>
      </c>
      <c r="L69" t="s">
        <v>465</v>
      </c>
    </row>
    <row r="70" spans="1:12" x14ac:dyDescent="0.25">
      <c r="A70" t="s">
        <v>101</v>
      </c>
      <c r="B70" t="s">
        <v>363</v>
      </c>
      <c r="C70" t="s">
        <v>466</v>
      </c>
      <c r="D70" t="s">
        <v>467</v>
      </c>
      <c r="E70" t="s">
        <v>16</v>
      </c>
      <c r="F70">
        <v>44.899000000000001</v>
      </c>
      <c r="G70" t="s">
        <v>17</v>
      </c>
      <c r="J70">
        <v>1.29</v>
      </c>
      <c r="K70">
        <v>57.92</v>
      </c>
      <c r="L70" t="s">
        <v>468</v>
      </c>
    </row>
    <row r="71" spans="1:12" x14ac:dyDescent="0.25">
      <c r="A71" t="s">
        <v>101</v>
      </c>
      <c r="B71" t="s">
        <v>268</v>
      </c>
      <c r="C71" t="s">
        <v>391</v>
      </c>
      <c r="D71" t="s">
        <v>392</v>
      </c>
      <c r="E71" t="s">
        <v>16</v>
      </c>
      <c r="F71">
        <v>125.008</v>
      </c>
      <c r="G71" t="s">
        <v>17</v>
      </c>
      <c r="J71">
        <v>1.29</v>
      </c>
      <c r="K71">
        <v>161.26</v>
      </c>
      <c r="L71" t="s">
        <v>469</v>
      </c>
    </row>
    <row r="72" spans="1:12" x14ac:dyDescent="0.25">
      <c r="A72" t="s">
        <v>41</v>
      </c>
      <c r="B72" t="s">
        <v>425</v>
      </c>
      <c r="C72" t="s">
        <v>426</v>
      </c>
      <c r="D72" t="s">
        <v>427</v>
      </c>
      <c r="E72" t="s">
        <v>16</v>
      </c>
      <c r="F72">
        <v>44</v>
      </c>
      <c r="G72" t="s">
        <v>17</v>
      </c>
      <c r="J72">
        <v>1.28</v>
      </c>
      <c r="K72">
        <v>56.32</v>
      </c>
      <c r="L72" t="s">
        <v>470</v>
      </c>
    </row>
    <row r="73" spans="1:12" x14ac:dyDescent="0.25">
      <c r="A73" t="s">
        <v>41</v>
      </c>
      <c r="B73" t="s">
        <v>463</v>
      </c>
      <c r="C73" t="s">
        <v>389</v>
      </c>
      <c r="D73" t="s">
        <v>390</v>
      </c>
      <c r="E73" t="s">
        <v>16</v>
      </c>
      <c r="F73">
        <v>37.209000000000003</v>
      </c>
      <c r="G73" t="s">
        <v>17</v>
      </c>
      <c r="J73">
        <v>1.29</v>
      </c>
      <c r="K73">
        <v>48</v>
      </c>
      <c r="L73" t="s">
        <v>102</v>
      </c>
    </row>
    <row r="74" spans="1:12" x14ac:dyDescent="0.25">
      <c r="A74" t="s">
        <v>41</v>
      </c>
      <c r="B74" t="s">
        <v>404</v>
      </c>
      <c r="C74" t="s">
        <v>405</v>
      </c>
      <c r="D74" t="s">
        <v>406</v>
      </c>
      <c r="E74" t="s">
        <v>16</v>
      </c>
      <c r="F74">
        <v>37</v>
      </c>
      <c r="G74" t="s">
        <v>17</v>
      </c>
      <c r="J74">
        <v>1.29</v>
      </c>
      <c r="K74">
        <v>47.73</v>
      </c>
      <c r="L74" t="s">
        <v>471</v>
      </c>
    </row>
    <row r="75" spans="1:12" x14ac:dyDescent="0.25">
      <c r="A75" t="s">
        <v>41</v>
      </c>
      <c r="B75" t="s">
        <v>348</v>
      </c>
      <c r="C75" t="s">
        <v>391</v>
      </c>
      <c r="D75" t="s">
        <v>392</v>
      </c>
      <c r="E75" t="s">
        <v>16</v>
      </c>
      <c r="F75">
        <v>116.217</v>
      </c>
      <c r="G75" t="s">
        <v>17</v>
      </c>
      <c r="J75">
        <v>1.29</v>
      </c>
      <c r="K75">
        <v>149.91999999999999</v>
      </c>
      <c r="L75" t="s">
        <v>472</v>
      </c>
    </row>
    <row r="76" spans="1:12" x14ac:dyDescent="0.25">
      <c r="A76" t="s">
        <v>41</v>
      </c>
      <c r="B76" t="s">
        <v>348</v>
      </c>
      <c r="C76" t="s">
        <v>391</v>
      </c>
      <c r="D76" t="s">
        <v>392</v>
      </c>
      <c r="E76" t="s">
        <v>473</v>
      </c>
      <c r="F76">
        <v>15.25</v>
      </c>
      <c r="G76" t="s">
        <v>17</v>
      </c>
      <c r="J76">
        <v>1.32</v>
      </c>
      <c r="K76">
        <v>20.13</v>
      </c>
      <c r="L76" t="s">
        <v>472</v>
      </c>
    </row>
    <row r="77" spans="1:12" x14ac:dyDescent="0.25">
      <c r="A77" t="s">
        <v>41</v>
      </c>
      <c r="B77" t="s">
        <v>412</v>
      </c>
      <c r="C77" t="s">
        <v>357</v>
      </c>
      <c r="D77" t="s">
        <v>358</v>
      </c>
      <c r="E77" t="s">
        <v>16</v>
      </c>
      <c r="F77">
        <v>43.698</v>
      </c>
      <c r="G77" t="s">
        <v>17</v>
      </c>
      <c r="J77">
        <v>1.29</v>
      </c>
      <c r="K77">
        <v>56.37</v>
      </c>
      <c r="L77" t="s">
        <v>474</v>
      </c>
    </row>
    <row r="78" spans="1:12" x14ac:dyDescent="0.25">
      <c r="A78" t="s">
        <v>43</v>
      </c>
      <c r="B78" t="s">
        <v>148</v>
      </c>
      <c r="C78" t="s">
        <v>385</v>
      </c>
      <c r="D78" t="s">
        <v>386</v>
      </c>
      <c r="E78" t="s">
        <v>16</v>
      </c>
      <c r="F78">
        <v>28.138000000000002</v>
      </c>
      <c r="G78" t="s">
        <v>17</v>
      </c>
      <c r="J78">
        <v>1.3</v>
      </c>
      <c r="K78">
        <v>36.58</v>
      </c>
      <c r="L78" t="s">
        <v>105</v>
      </c>
    </row>
    <row r="79" spans="1:12" x14ac:dyDescent="0.25">
      <c r="A79" t="s">
        <v>43</v>
      </c>
      <c r="B79" t="s">
        <v>425</v>
      </c>
      <c r="C79" t="s">
        <v>439</v>
      </c>
      <c r="D79" t="s">
        <v>440</v>
      </c>
      <c r="E79" t="s">
        <v>16</v>
      </c>
      <c r="F79">
        <v>35</v>
      </c>
      <c r="G79" t="s">
        <v>17</v>
      </c>
      <c r="J79">
        <v>1.29</v>
      </c>
      <c r="K79">
        <v>45.15</v>
      </c>
      <c r="L79" t="s">
        <v>475</v>
      </c>
    </row>
    <row r="80" spans="1:12" x14ac:dyDescent="0.25">
      <c r="A80" t="s">
        <v>43</v>
      </c>
      <c r="B80" t="s">
        <v>374</v>
      </c>
      <c r="C80" t="s">
        <v>375</v>
      </c>
      <c r="D80" t="s">
        <v>376</v>
      </c>
      <c r="E80" t="s">
        <v>16</v>
      </c>
      <c r="F80">
        <v>47</v>
      </c>
      <c r="G80" t="s">
        <v>17</v>
      </c>
      <c r="J80">
        <v>1.28</v>
      </c>
      <c r="K80">
        <v>60.16</v>
      </c>
      <c r="L80" t="s">
        <v>112</v>
      </c>
    </row>
    <row r="81" spans="1:12" x14ac:dyDescent="0.25">
      <c r="A81" t="s">
        <v>43</v>
      </c>
      <c r="B81" t="s">
        <v>412</v>
      </c>
      <c r="C81" t="s">
        <v>371</v>
      </c>
      <c r="D81" t="s">
        <v>372</v>
      </c>
      <c r="E81" t="s">
        <v>16</v>
      </c>
      <c r="F81">
        <v>55.573999999999899</v>
      </c>
      <c r="G81" t="s">
        <v>17</v>
      </c>
      <c r="J81">
        <v>1.29</v>
      </c>
      <c r="K81">
        <v>71.69</v>
      </c>
      <c r="L81" t="s">
        <v>476</v>
      </c>
    </row>
    <row r="82" spans="1:12" x14ac:dyDescent="0.25">
      <c r="A82" t="s">
        <v>43</v>
      </c>
      <c r="B82" t="s">
        <v>423</v>
      </c>
      <c r="C82" t="s">
        <v>360</v>
      </c>
      <c r="D82" t="s">
        <v>361</v>
      </c>
      <c r="E82" t="s">
        <v>16</v>
      </c>
      <c r="F82">
        <v>28.6999999999999</v>
      </c>
      <c r="G82" t="s">
        <v>17</v>
      </c>
      <c r="J82">
        <v>1.3</v>
      </c>
      <c r="K82">
        <v>37.31</v>
      </c>
      <c r="L82" t="s">
        <v>477</v>
      </c>
    </row>
    <row r="83" spans="1:12" x14ac:dyDescent="0.25">
      <c r="A83" t="s">
        <v>43</v>
      </c>
      <c r="B83" t="s">
        <v>260</v>
      </c>
      <c r="C83" t="s">
        <v>414</v>
      </c>
      <c r="D83" t="s">
        <v>415</v>
      </c>
      <c r="E83" t="s">
        <v>16</v>
      </c>
      <c r="F83">
        <v>39.692</v>
      </c>
      <c r="G83" t="s">
        <v>17</v>
      </c>
      <c r="J83">
        <v>1.3</v>
      </c>
      <c r="K83">
        <v>51.6</v>
      </c>
      <c r="L83" t="s">
        <v>478</v>
      </c>
    </row>
    <row r="84" spans="1:12" x14ac:dyDescent="0.25">
      <c r="A84" t="s">
        <v>43</v>
      </c>
      <c r="B84" t="s">
        <v>260</v>
      </c>
      <c r="C84" t="s">
        <v>357</v>
      </c>
      <c r="D84" t="s">
        <v>358</v>
      </c>
      <c r="E84" t="s">
        <v>16</v>
      </c>
      <c r="F84">
        <v>32.154000000000003</v>
      </c>
      <c r="G84" t="s">
        <v>17</v>
      </c>
      <c r="J84">
        <v>1.3</v>
      </c>
      <c r="K84">
        <v>41.8</v>
      </c>
      <c r="L84" t="s">
        <v>455</v>
      </c>
    </row>
    <row r="85" spans="1:12" x14ac:dyDescent="0.25">
      <c r="A85" t="s">
        <v>91</v>
      </c>
      <c r="B85" t="s">
        <v>148</v>
      </c>
      <c r="C85" t="s">
        <v>360</v>
      </c>
      <c r="D85" t="s">
        <v>361</v>
      </c>
      <c r="E85" t="s">
        <v>16</v>
      </c>
      <c r="F85">
        <v>19.100000000000001</v>
      </c>
      <c r="G85" t="s">
        <v>17</v>
      </c>
      <c r="J85">
        <v>1.3</v>
      </c>
      <c r="K85">
        <v>24.83</v>
      </c>
      <c r="L85" t="s">
        <v>454</v>
      </c>
    </row>
    <row r="86" spans="1:12" x14ac:dyDescent="0.25">
      <c r="A86" t="s">
        <v>91</v>
      </c>
      <c r="B86" t="s">
        <v>353</v>
      </c>
      <c r="C86" t="s">
        <v>439</v>
      </c>
      <c r="D86" t="s">
        <v>440</v>
      </c>
      <c r="E86" t="s">
        <v>16</v>
      </c>
      <c r="F86">
        <v>20</v>
      </c>
      <c r="G86" t="s">
        <v>17</v>
      </c>
      <c r="J86">
        <v>1.3</v>
      </c>
      <c r="K86">
        <v>26</v>
      </c>
      <c r="L86" t="s">
        <v>479</v>
      </c>
    </row>
    <row r="87" spans="1:12" x14ac:dyDescent="0.25">
      <c r="A87" t="s">
        <v>91</v>
      </c>
      <c r="B87" t="s">
        <v>480</v>
      </c>
      <c r="C87" t="s">
        <v>420</v>
      </c>
      <c r="D87" t="s">
        <v>421</v>
      </c>
      <c r="E87" t="s">
        <v>16</v>
      </c>
      <c r="F87">
        <v>48.268999999999899</v>
      </c>
      <c r="G87" t="s">
        <v>17</v>
      </c>
      <c r="J87">
        <v>1.3</v>
      </c>
      <c r="K87">
        <v>62.75</v>
      </c>
      <c r="L87" t="s">
        <v>481</v>
      </c>
    </row>
    <row r="88" spans="1:12" x14ac:dyDescent="0.25">
      <c r="A88" t="s">
        <v>91</v>
      </c>
      <c r="B88" t="s">
        <v>480</v>
      </c>
      <c r="C88" t="s">
        <v>420</v>
      </c>
      <c r="D88" t="s">
        <v>421</v>
      </c>
      <c r="E88" t="s">
        <v>482</v>
      </c>
      <c r="F88">
        <v>1</v>
      </c>
      <c r="G88" t="s">
        <v>152</v>
      </c>
      <c r="J88">
        <v>21.47</v>
      </c>
      <c r="K88">
        <v>21.47</v>
      </c>
      <c r="L88" t="s">
        <v>481</v>
      </c>
    </row>
    <row r="89" spans="1:12" x14ac:dyDescent="0.25">
      <c r="A89" t="s">
        <v>91</v>
      </c>
      <c r="B89" t="s">
        <v>435</v>
      </c>
      <c r="C89" t="s">
        <v>436</v>
      </c>
      <c r="D89" t="s">
        <v>437</v>
      </c>
      <c r="E89" t="s">
        <v>16</v>
      </c>
      <c r="F89">
        <v>42.688000000000002</v>
      </c>
      <c r="G89" t="s">
        <v>17</v>
      </c>
      <c r="J89">
        <v>1.28</v>
      </c>
      <c r="K89">
        <v>54.64</v>
      </c>
      <c r="L89" t="s">
        <v>483</v>
      </c>
    </row>
    <row r="90" spans="1:12" x14ac:dyDescent="0.25">
      <c r="A90" t="s">
        <v>91</v>
      </c>
      <c r="B90" t="s">
        <v>160</v>
      </c>
      <c r="C90" t="s">
        <v>397</v>
      </c>
      <c r="D90" t="s">
        <v>398</v>
      </c>
      <c r="E90" t="s">
        <v>16</v>
      </c>
      <c r="F90">
        <v>13.6</v>
      </c>
      <c r="G90" t="s">
        <v>17</v>
      </c>
      <c r="J90">
        <v>1.3</v>
      </c>
      <c r="K90">
        <v>17.68</v>
      </c>
      <c r="L90" t="s">
        <v>484</v>
      </c>
    </row>
    <row r="91" spans="1:12" x14ac:dyDescent="0.25">
      <c r="A91" t="s">
        <v>91</v>
      </c>
      <c r="B91" t="s">
        <v>227</v>
      </c>
      <c r="C91" t="s">
        <v>402</v>
      </c>
      <c r="D91" t="s">
        <v>403</v>
      </c>
      <c r="E91" t="s">
        <v>16</v>
      </c>
      <c r="F91">
        <v>57</v>
      </c>
      <c r="G91" t="s">
        <v>17</v>
      </c>
      <c r="J91">
        <v>1.29</v>
      </c>
      <c r="K91">
        <v>73.53</v>
      </c>
      <c r="L91" t="s">
        <v>485</v>
      </c>
    </row>
    <row r="92" spans="1:12" x14ac:dyDescent="0.25">
      <c r="A92" t="s">
        <v>91</v>
      </c>
      <c r="B92" t="s">
        <v>407</v>
      </c>
      <c r="C92" t="s">
        <v>408</v>
      </c>
      <c r="D92" t="s">
        <v>409</v>
      </c>
      <c r="E92" t="s">
        <v>16</v>
      </c>
      <c r="F92">
        <v>47.107999999999898</v>
      </c>
      <c r="G92" t="s">
        <v>17</v>
      </c>
      <c r="J92">
        <v>1.3</v>
      </c>
      <c r="K92">
        <v>61.24</v>
      </c>
      <c r="L92" t="s">
        <v>58</v>
      </c>
    </row>
    <row r="93" spans="1:12" x14ac:dyDescent="0.25">
      <c r="A93" t="s">
        <v>91</v>
      </c>
      <c r="B93" t="s">
        <v>363</v>
      </c>
      <c r="C93" t="s">
        <v>357</v>
      </c>
      <c r="D93" t="s">
        <v>358</v>
      </c>
      <c r="E93" t="s">
        <v>16</v>
      </c>
      <c r="F93">
        <v>41.738</v>
      </c>
      <c r="G93" t="s">
        <v>17</v>
      </c>
      <c r="J93">
        <v>1.3</v>
      </c>
      <c r="K93">
        <v>54.26</v>
      </c>
      <c r="L93" t="s">
        <v>486</v>
      </c>
    </row>
    <row r="94" spans="1:12" x14ac:dyDescent="0.25">
      <c r="A94" t="s">
        <v>91</v>
      </c>
      <c r="B94" t="s">
        <v>363</v>
      </c>
      <c r="C94" t="s">
        <v>357</v>
      </c>
      <c r="D94" t="s">
        <v>358</v>
      </c>
      <c r="E94" t="s">
        <v>222</v>
      </c>
      <c r="F94">
        <v>1</v>
      </c>
      <c r="G94" t="s">
        <v>152</v>
      </c>
      <c r="J94">
        <v>11.24</v>
      </c>
      <c r="K94">
        <v>11.24</v>
      </c>
      <c r="L94" t="s">
        <v>486</v>
      </c>
    </row>
    <row r="95" spans="1:12" x14ac:dyDescent="0.25">
      <c r="A95" t="s">
        <v>91</v>
      </c>
      <c r="B95" t="s">
        <v>13</v>
      </c>
      <c r="C95" t="s">
        <v>430</v>
      </c>
      <c r="D95" t="s">
        <v>431</v>
      </c>
      <c r="E95" t="s">
        <v>16</v>
      </c>
      <c r="F95">
        <v>37.640999999999899</v>
      </c>
      <c r="G95" t="s">
        <v>17</v>
      </c>
      <c r="J95">
        <v>1.28</v>
      </c>
      <c r="K95">
        <v>48.18</v>
      </c>
      <c r="L95" t="s">
        <v>487</v>
      </c>
    </row>
    <row r="96" spans="1:12" x14ac:dyDescent="0.25">
      <c r="A96" t="s">
        <v>45</v>
      </c>
      <c r="B96" t="s">
        <v>425</v>
      </c>
      <c r="C96" t="s">
        <v>426</v>
      </c>
      <c r="D96" t="s">
        <v>427</v>
      </c>
      <c r="E96" t="s">
        <v>16</v>
      </c>
      <c r="F96">
        <v>38</v>
      </c>
      <c r="G96" t="s">
        <v>17</v>
      </c>
      <c r="J96">
        <v>1.29</v>
      </c>
      <c r="K96">
        <v>49.02</v>
      </c>
      <c r="L96" t="s">
        <v>292</v>
      </c>
    </row>
    <row r="97" spans="1:12" x14ac:dyDescent="0.25">
      <c r="A97" t="s">
        <v>45</v>
      </c>
      <c r="B97" t="s">
        <v>374</v>
      </c>
      <c r="C97" t="s">
        <v>375</v>
      </c>
      <c r="D97" t="s">
        <v>376</v>
      </c>
      <c r="E97" t="s">
        <v>16</v>
      </c>
      <c r="F97">
        <v>20</v>
      </c>
      <c r="G97" t="s">
        <v>17</v>
      </c>
      <c r="J97">
        <v>1.28</v>
      </c>
      <c r="K97">
        <v>25.6</v>
      </c>
      <c r="L97" t="s">
        <v>66</v>
      </c>
    </row>
    <row r="98" spans="1:12" x14ac:dyDescent="0.25">
      <c r="A98" t="s">
        <v>45</v>
      </c>
      <c r="B98" t="s">
        <v>20</v>
      </c>
      <c r="C98" t="s">
        <v>389</v>
      </c>
      <c r="D98" t="s">
        <v>390</v>
      </c>
      <c r="E98" t="s">
        <v>16</v>
      </c>
      <c r="F98">
        <v>26.876999999999899</v>
      </c>
      <c r="G98" t="s">
        <v>17</v>
      </c>
      <c r="J98">
        <v>1.3</v>
      </c>
      <c r="K98">
        <v>34.94</v>
      </c>
      <c r="L98" t="s">
        <v>488</v>
      </c>
    </row>
    <row r="99" spans="1:12" x14ac:dyDescent="0.25">
      <c r="A99" t="s">
        <v>45</v>
      </c>
      <c r="B99" t="s">
        <v>378</v>
      </c>
      <c r="C99" t="s">
        <v>379</v>
      </c>
      <c r="D99" t="s">
        <v>380</v>
      </c>
      <c r="E99" t="s">
        <v>16</v>
      </c>
      <c r="F99">
        <v>36.457000000000001</v>
      </c>
      <c r="G99" t="s">
        <v>17</v>
      </c>
      <c r="J99">
        <v>1.29</v>
      </c>
      <c r="K99">
        <v>47.03</v>
      </c>
      <c r="L99" t="s">
        <v>489</v>
      </c>
    </row>
    <row r="100" spans="1:12" x14ac:dyDescent="0.25">
      <c r="A100" t="s">
        <v>45</v>
      </c>
      <c r="B100" t="s">
        <v>150</v>
      </c>
      <c r="C100" t="s">
        <v>466</v>
      </c>
      <c r="D100" t="s">
        <v>467</v>
      </c>
      <c r="E100" t="s">
        <v>16</v>
      </c>
      <c r="F100">
        <v>20.992000000000001</v>
      </c>
      <c r="G100" t="s">
        <v>17</v>
      </c>
      <c r="J100">
        <v>1.3</v>
      </c>
      <c r="K100">
        <v>27.29</v>
      </c>
      <c r="L100" t="s">
        <v>490</v>
      </c>
    </row>
    <row r="101" spans="1:12" x14ac:dyDescent="0.25">
      <c r="A101" t="s">
        <v>45</v>
      </c>
      <c r="B101" t="s">
        <v>412</v>
      </c>
      <c r="C101" t="s">
        <v>439</v>
      </c>
      <c r="D101" t="s">
        <v>440</v>
      </c>
      <c r="E101" t="s">
        <v>16</v>
      </c>
      <c r="F101">
        <v>32.805999999999898</v>
      </c>
      <c r="G101" t="s">
        <v>17</v>
      </c>
      <c r="J101">
        <v>1.29</v>
      </c>
      <c r="K101">
        <v>42.32</v>
      </c>
      <c r="L101" t="s">
        <v>491</v>
      </c>
    </row>
    <row r="102" spans="1:12" x14ac:dyDescent="0.25">
      <c r="A102" t="s">
        <v>45</v>
      </c>
      <c r="B102" t="s">
        <v>260</v>
      </c>
      <c r="C102" t="s">
        <v>357</v>
      </c>
      <c r="D102" t="s">
        <v>358</v>
      </c>
      <c r="E102" t="s">
        <v>16</v>
      </c>
      <c r="F102">
        <v>30.562000000000001</v>
      </c>
      <c r="G102" t="s">
        <v>17</v>
      </c>
      <c r="J102">
        <v>1.3</v>
      </c>
      <c r="K102">
        <v>39.729999999999997</v>
      </c>
      <c r="L102" t="s">
        <v>352</v>
      </c>
    </row>
    <row r="103" spans="1:12" x14ac:dyDescent="0.25">
      <c r="A103" t="s">
        <v>116</v>
      </c>
      <c r="B103" t="s">
        <v>407</v>
      </c>
      <c r="C103" t="s">
        <v>408</v>
      </c>
      <c r="D103" t="s">
        <v>409</v>
      </c>
      <c r="E103" t="s">
        <v>16</v>
      </c>
      <c r="F103">
        <v>9</v>
      </c>
      <c r="G103" t="s">
        <v>17</v>
      </c>
      <c r="J103">
        <v>1.31</v>
      </c>
      <c r="K103">
        <v>11.79</v>
      </c>
      <c r="L103" t="s">
        <v>492</v>
      </c>
    </row>
    <row r="104" spans="1:12" x14ac:dyDescent="0.25">
      <c r="F104" s="1">
        <f>SUM(F2:F6,F8:F12,F14:F25,F27:F32,F34:F36,F38:F48,F50:F63,F67,F69:F87,F89:F93,F95:F103)</f>
        <v>3741.2529999999965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L13"/>
  <sheetViews>
    <sheetView workbookViewId="0">
      <selection activeCell="F13" sqref="F13"/>
    </sheetView>
  </sheetViews>
  <sheetFormatPr defaultRowHeight="15" x14ac:dyDescent="0.25"/>
  <cols>
    <col min="1" max="1" width="10.42578125" bestFit="1" customWidth="1"/>
    <col min="2" max="2" width="32.42578125" bestFit="1" customWidth="1"/>
    <col min="3" max="3" width="9.710937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308</v>
      </c>
      <c r="C2" t="s">
        <v>493</v>
      </c>
      <c r="D2" t="s">
        <v>494</v>
      </c>
      <c r="E2" t="s">
        <v>16</v>
      </c>
      <c r="F2">
        <v>51.308</v>
      </c>
      <c r="G2" t="s">
        <v>17</v>
      </c>
      <c r="J2">
        <v>1.3</v>
      </c>
      <c r="K2">
        <v>66.7</v>
      </c>
      <c r="L2" t="s">
        <v>298</v>
      </c>
    </row>
    <row r="3" spans="1:12" x14ac:dyDescent="0.25">
      <c r="A3" t="s">
        <v>12</v>
      </c>
      <c r="B3" t="s">
        <v>176</v>
      </c>
      <c r="C3" t="s">
        <v>495</v>
      </c>
      <c r="D3" t="s">
        <v>496</v>
      </c>
      <c r="E3" t="s">
        <v>170</v>
      </c>
      <c r="F3">
        <v>32.277000000000001</v>
      </c>
      <c r="G3" t="s">
        <v>17</v>
      </c>
      <c r="J3">
        <v>1.55</v>
      </c>
      <c r="K3">
        <v>50.03</v>
      </c>
      <c r="L3" t="s">
        <v>497</v>
      </c>
    </row>
    <row r="4" spans="1:12" x14ac:dyDescent="0.25">
      <c r="A4" t="s">
        <v>19</v>
      </c>
      <c r="B4" t="s">
        <v>498</v>
      </c>
      <c r="C4" t="s">
        <v>495</v>
      </c>
      <c r="D4" t="s">
        <v>496</v>
      </c>
      <c r="E4" t="s">
        <v>16</v>
      </c>
      <c r="F4">
        <v>46.292000000000002</v>
      </c>
      <c r="G4" t="s">
        <v>17</v>
      </c>
      <c r="J4">
        <v>1.3</v>
      </c>
      <c r="K4">
        <v>60.18</v>
      </c>
      <c r="L4" t="s">
        <v>499</v>
      </c>
    </row>
    <row r="5" spans="1:12" x14ac:dyDescent="0.25">
      <c r="A5" t="s">
        <v>61</v>
      </c>
      <c r="B5" t="s">
        <v>123</v>
      </c>
      <c r="C5" t="s">
        <v>495</v>
      </c>
      <c r="D5" t="s">
        <v>496</v>
      </c>
      <c r="E5" t="s">
        <v>16</v>
      </c>
      <c r="F5">
        <v>32.537999999999897</v>
      </c>
      <c r="G5" t="s">
        <v>17</v>
      </c>
      <c r="J5">
        <v>1.3</v>
      </c>
      <c r="K5">
        <v>42.3</v>
      </c>
      <c r="L5" t="s">
        <v>49</v>
      </c>
    </row>
    <row r="6" spans="1:12" x14ac:dyDescent="0.25">
      <c r="A6" t="s">
        <v>61</v>
      </c>
      <c r="B6" t="s">
        <v>500</v>
      </c>
      <c r="C6" t="s">
        <v>501</v>
      </c>
      <c r="D6" t="s">
        <v>502</v>
      </c>
      <c r="E6" t="s">
        <v>16</v>
      </c>
      <c r="F6">
        <v>28.797000000000001</v>
      </c>
      <c r="G6" t="s">
        <v>17</v>
      </c>
      <c r="J6">
        <v>1.28</v>
      </c>
      <c r="K6">
        <v>36.86</v>
      </c>
      <c r="L6" t="s">
        <v>428</v>
      </c>
    </row>
    <row r="7" spans="1:12" x14ac:dyDescent="0.25">
      <c r="A7" t="s">
        <v>57</v>
      </c>
      <c r="B7" t="s">
        <v>365</v>
      </c>
      <c r="C7" t="s">
        <v>503</v>
      </c>
      <c r="D7" t="s">
        <v>504</v>
      </c>
      <c r="E7" t="s">
        <v>170</v>
      </c>
      <c r="F7">
        <v>38.058</v>
      </c>
      <c r="G7" t="s">
        <v>17</v>
      </c>
      <c r="J7">
        <v>1.55</v>
      </c>
      <c r="K7">
        <v>58.99</v>
      </c>
      <c r="L7" t="s">
        <v>505</v>
      </c>
    </row>
    <row r="8" spans="1:12" x14ac:dyDescent="0.25">
      <c r="A8" t="s">
        <v>241</v>
      </c>
      <c r="B8" t="s">
        <v>176</v>
      </c>
      <c r="C8" t="s">
        <v>503</v>
      </c>
      <c r="D8" t="s">
        <v>504</v>
      </c>
      <c r="E8" t="s">
        <v>16</v>
      </c>
      <c r="F8">
        <v>15.323</v>
      </c>
      <c r="G8" t="s">
        <v>17</v>
      </c>
      <c r="J8">
        <v>1.3</v>
      </c>
      <c r="K8">
        <v>19.920000000000002</v>
      </c>
      <c r="L8" t="s">
        <v>506</v>
      </c>
    </row>
    <row r="9" spans="1:12" x14ac:dyDescent="0.25">
      <c r="A9" t="s">
        <v>36</v>
      </c>
      <c r="B9" t="s">
        <v>365</v>
      </c>
      <c r="C9" t="s">
        <v>503</v>
      </c>
      <c r="D9" t="s">
        <v>504</v>
      </c>
      <c r="E9" t="s">
        <v>170</v>
      </c>
      <c r="F9">
        <v>22.581</v>
      </c>
      <c r="G9" t="s">
        <v>17</v>
      </c>
      <c r="J9">
        <v>1.55</v>
      </c>
      <c r="K9">
        <v>35</v>
      </c>
      <c r="L9" t="s">
        <v>507</v>
      </c>
    </row>
    <row r="10" spans="1:12" x14ac:dyDescent="0.25">
      <c r="A10" t="s">
        <v>38</v>
      </c>
      <c r="B10" t="s">
        <v>123</v>
      </c>
      <c r="C10" t="s">
        <v>495</v>
      </c>
      <c r="D10" t="s">
        <v>496</v>
      </c>
      <c r="E10" t="s">
        <v>16</v>
      </c>
      <c r="F10">
        <v>55.991999999999898</v>
      </c>
      <c r="G10" t="s">
        <v>17</v>
      </c>
      <c r="J10">
        <v>1.3</v>
      </c>
      <c r="K10">
        <v>72.790000000000006</v>
      </c>
      <c r="L10" t="s">
        <v>483</v>
      </c>
    </row>
    <row r="11" spans="1:12" x14ac:dyDescent="0.25">
      <c r="A11" t="s">
        <v>43</v>
      </c>
      <c r="B11" t="s">
        <v>508</v>
      </c>
      <c r="C11" t="s">
        <v>495</v>
      </c>
      <c r="D11" t="s">
        <v>496</v>
      </c>
      <c r="E11" t="s">
        <v>16</v>
      </c>
      <c r="F11">
        <v>38.462000000000003</v>
      </c>
      <c r="G11" t="s">
        <v>17</v>
      </c>
      <c r="J11">
        <v>1.3</v>
      </c>
      <c r="K11">
        <v>50</v>
      </c>
      <c r="L11" t="s">
        <v>492</v>
      </c>
    </row>
    <row r="12" spans="1:12" x14ac:dyDescent="0.25">
      <c r="A12" t="s">
        <v>43</v>
      </c>
      <c r="B12" t="s">
        <v>365</v>
      </c>
      <c r="C12" t="s">
        <v>503</v>
      </c>
      <c r="D12" t="s">
        <v>504</v>
      </c>
      <c r="E12" t="s">
        <v>170</v>
      </c>
      <c r="F12">
        <v>26.561</v>
      </c>
      <c r="G12" t="s">
        <v>17</v>
      </c>
      <c r="J12">
        <v>1.57</v>
      </c>
      <c r="K12">
        <v>41.7</v>
      </c>
      <c r="L12" t="s">
        <v>509</v>
      </c>
    </row>
    <row r="13" spans="1:12" x14ac:dyDescent="0.25">
      <c r="F13" s="1">
        <f>SUM(F2:F12)</f>
        <v>388.18899999999979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6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32.4257812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195</v>
      </c>
      <c r="B2" t="s">
        <v>384</v>
      </c>
      <c r="C2" t="s">
        <v>510</v>
      </c>
      <c r="D2" t="s">
        <v>511</v>
      </c>
      <c r="E2" t="s">
        <v>65</v>
      </c>
      <c r="F2">
        <v>56.183999999999898</v>
      </c>
      <c r="G2" t="s">
        <v>17</v>
      </c>
      <c r="J2">
        <v>1.25</v>
      </c>
      <c r="K2">
        <v>70.23</v>
      </c>
      <c r="L2" t="s">
        <v>512</v>
      </c>
    </row>
    <row r="3" spans="1:12" x14ac:dyDescent="0.25">
      <c r="A3" t="s">
        <v>101</v>
      </c>
      <c r="B3" t="s">
        <v>72</v>
      </c>
      <c r="C3" t="s">
        <v>513</v>
      </c>
      <c r="D3" t="s">
        <v>514</v>
      </c>
      <c r="E3" t="s">
        <v>174</v>
      </c>
      <c r="F3">
        <v>37.06</v>
      </c>
      <c r="G3" t="s">
        <v>17</v>
      </c>
      <c r="J3">
        <v>1.49</v>
      </c>
      <c r="K3">
        <v>55.22</v>
      </c>
      <c r="L3" t="s">
        <v>515</v>
      </c>
    </row>
    <row r="4" spans="1:12" x14ac:dyDescent="0.25">
      <c r="A4" t="s">
        <v>101</v>
      </c>
      <c r="B4" t="s">
        <v>144</v>
      </c>
      <c r="C4" t="s">
        <v>513</v>
      </c>
      <c r="D4" t="s">
        <v>514</v>
      </c>
      <c r="E4" t="s">
        <v>174</v>
      </c>
      <c r="F4">
        <v>27.867999999999899</v>
      </c>
      <c r="G4" t="s">
        <v>17</v>
      </c>
      <c r="J4">
        <v>1.51</v>
      </c>
      <c r="K4">
        <v>42.08</v>
      </c>
      <c r="L4" t="s">
        <v>203</v>
      </c>
    </row>
    <row r="5" spans="1:12" x14ac:dyDescent="0.25">
      <c r="A5" t="s">
        <v>45</v>
      </c>
      <c r="B5" t="s">
        <v>72</v>
      </c>
      <c r="C5" t="s">
        <v>513</v>
      </c>
      <c r="D5" t="s">
        <v>514</v>
      </c>
      <c r="E5" t="s">
        <v>174</v>
      </c>
      <c r="F5">
        <v>48.613</v>
      </c>
      <c r="G5" t="s">
        <v>17</v>
      </c>
      <c r="J5">
        <v>1.5</v>
      </c>
      <c r="K5">
        <v>72.92</v>
      </c>
      <c r="L5" t="s">
        <v>516</v>
      </c>
    </row>
    <row r="6" spans="1:12" x14ac:dyDescent="0.25">
      <c r="F6" s="1">
        <f>SUM(F2:F5)</f>
        <v>169.7249999999998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18"/>
  <sheetViews>
    <sheetView workbookViewId="0">
      <selection activeCell="F18" sqref="F18"/>
    </sheetView>
  </sheetViews>
  <sheetFormatPr defaultRowHeight="15" x14ac:dyDescent="0.25"/>
  <cols>
    <col min="1" max="1" width="10.42578125" bestFit="1" customWidth="1"/>
    <col min="2" max="2" width="27.140625" bestFit="1" customWidth="1"/>
    <col min="3" max="3" width="9.85546875" bestFit="1" customWidth="1"/>
    <col min="4" max="4" width="18.28515625" bestFit="1" customWidth="1"/>
    <col min="5" max="5" width="22.85546875" bestFit="1" customWidth="1"/>
    <col min="6" max="6" width="7" bestFit="1" customWidth="1"/>
    <col min="7" max="7" width="15.285156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45</v>
      </c>
      <c r="B2" t="s">
        <v>227</v>
      </c>
      <c r="C2" t="s">
        <v>517</v>
      </c>
      <c r="D2" t="s">
        <v>518</v>
      </c>
      <c r="E2" t="s">
        <v>16</v>
      </c>
      <c r="F2">
        <v>39.109000000000002</v>
      </c>
      <c r="G2" t="s">
        <v>17</v>
      </c>
      <c r="J2">
        <v>1.29</v>
      </c>
      <c r="K2">
        <v>50.45</v>
      </c>
      <c r="L2" t="s">
        <v>519</v>
      </c>
    </row>
    <row r="3" spans="1:12" x14ac:dyDescent="0.25">
      <c r="A3" t="s">
        <v>45</v>
      </c>
      <c r="B3" t="s">
        <v>227</v>
      </c>
      <c r="C3" t="s">
        <v>520</v>
      </c>
      <c r="D3" t="s">
        <v>521</v>
      </c>
      <c r="E3" t="s">
        <v>16</v>
      </c>
      <c r="F3">
        <v>22.69</v>
      </c>
      <c r="G3" t="s">
        <v>17</v>
      </c>
      <c r="J3">
        <v>1.29</v>
      </c>
      <c r="K3">
        <v>29.27</v>
      </c>
      <c r="L3" t="s">
        <v>522</v>
      </c>
    </row>
    <row r="4" spans="1:12" x14ac:dyDescent="0.25">
      <c r="A4" t="s">
        <v>45</v>
      </c>
      <c r="B4" t="s">
        <v>227</v>
      </c>
      <c r="C4" t="s">
        <v>523</v>
      </c>
      <c r="D4" t="s">
        <v>524</v>
      </c>
      <c r="E4" t="s">
        <v>16</v>
      </c>
      <c r="F4">
        <v>11.0079999999999</v>
      </c>
      <c r="G4" t="s">
        <v>17</v>
      </c>
      <c r="J4">
        <v>1.29</v>
      </c>
      <c r="K4">
        <v>14.2</v>
      </c>
      <c r="L4" t="s">
        <v>525</v>
      </c>
    </row>
    <row r="5" spans="1:12" x14ac:dyDescent="0.25">
      <c r="A5" t="s">
        <v>45</v>
      </c>
      <c r="B5" t="s">
        <v>227</v>
      </c>
      <c r="C5" t="s">
        <v>526</v>
      </c>
      <c r="D5" t="s">
        <v>527</v>
      </c>
      <c r="E5" t="s">
        <v>16</v>
      </c>
      <c r="F5">
        <v>34</v>
      </c>
      <c r="G5" t="s">
        <v>17</v>
      </c>
      <c r="J5">
        <v>1.29</v>
      </c>
      <c r="K5">
        <v>43.86</v>
      </c>
      <c r="L5" t="s">
        <v>528</v>
      </c>
    </row>
    <row r="6" spans="1:12" x14ac:dyDescent="0.25">
      <c r="A6" t="s">
        <v>45</v>
      </c>
      <c r="B6" t="s">
        <v>227</v>
      </c>
      <c r="C6" t="s">
        <v>529</v>
      </c>
      <c r="D6" t="s">
        <v>530</v>
      </c>
      <c r="E6" t="s">
        <v>16</v>
      </c>
      <c r="F6">
        <v>17</v>
      </c>
      <c r="G6" t="s">
        <v>17</v>
      </c>
      <c r="J6">
        <v>1.29</v>
      </c>
      <c r="K6">
        <v>21.93</v>
      </c>
      <c r="L6" t="s">
        <v>443</v>
      </c>
    </row>
    <row r="7" spans="1:12" x14ac:dyDescent="0.25">
      <c r="A7" t="s">
        <v>45</v>
      </c>
      <c r="B7" t="s">
        <v>227</v>
      </c>
      <c r="C7" t="s">
        <v>531</v>
      </c>
      <c r="D7" t="s">
        <v>532</v>
      </c>
      <c r="E7" t="s">
        <v>16</v>
      </c>
      <c r="F7">
        <v>29.0079999999999</v>
      </c>
      <c r="G7" t="s">
        <v>17</v>
      </c>
      <c r="J7">
        <v>1.29</v>
      </c>
      <c r="K7">
        <v>37.42</v>
      </c>
      <c r="L7" t="s">
        <v>533</v>
      </c>
    </row>
    <row r="8" spans="1:12" x14ac:dyDescent="0.25">
      <c r="A8" t="s">
        <v>45</v>
      </c>
      <c r="B8" t="s">
        <v>227</v>
      </c>
      <c r="C8" t="s">
        <v>534</v>
      </c>
      <c r="D8" t="s">
        <v>535</v>
      </c>
      <c r="E8" t="s">
        <v>16</v>
      </c>
      <c r="F8">
        <v>18</v>
      </c>
      <c r="G8" t="s">
        <v>17</v>
      </c>
      <c r="J8">
        <v>1.29</v>
      </c>
      <c r="K8">
        <v>23.22</v>
      </c>
      <c r="L8" t="s">
        <v>307</v>
      </c>
    </row>
    <row r="9" spans="1:12" x14ac:dyDescent="0.25">
      <c r="A9" t="s">
        <v>45</v>
      </c>
      <c r="B9" t="s">
        <v>227</v>
      </c>
      <c r="C9" t="s">
        <v>536</v>
      </c>
      <c r="D9" t="s">
        <v>537</v>
      </c>
      <c r="E9" t="s">
        <v>65</v>
      </c>
      <c r="F9">
        <v>12.016</v>
      </c>
      <c r="G9" t="s">
        <v>17</v>
      </c>
      <c r="J9">
        <v>1.25</v>
      </c>
      <c r="K9">
        <v>15.02</v>
      </c>
      <c r="L9" t="s">
        <v>538</v>
      </c>
    </row>
    <row r="10" spans="1:12" x14ac:dyDescent="0.25">
      <c r="A10" t="s">
        <v>45</v>
      </c>
      <c r="B10" t="s">
        <v>227</v>
      </c>
      <c r="C10" t="s">
        <v>539</v>
      </c>
      <c r="D10" t="s">
        <v>540</v>
      </c>
      <c r="E10" t="s">
        <v>16</v>
      </c>
      <c r="F10">
        <v>20</v>
      </c>
      <c r="G10" t="s">
        <v>17</v>
      </c>
      <c r="J10">
        <v>1.29</v>
      </c>
      <c r="K10">
        <v>25.8</v>
      </c>
      <c r="L10" t="s">
        <v>541</v>
      </c>
    </row>
    <row r="11" spans="1:12" x14ac:dyDescent="0.25">
      <c r="A11" t="s">
        <v>45</v>
      </c>
      <c r="B11" t="s">
        <v>227</v>
      </c>
      <c r="C11" t="s">
        <v>542</v>
      </c>
      <c r="D11" t="s">
        <v>543</v>
      </c>
      <c r="E11" t="s">
        <v>16</v>
      </c>
      <c r="F11">
        <v>47.518999999999899</v>
      </c>
      <c r="G11" t="s">
        <v>17</v>
      </c>
      <c r="J11">
        <v>1.29</v>
      </c>
      <c r="K11">
        <v>61.3</v>
      </c>
      <c r="L11" t="s">
        <v>90</v>
      </c>
    </row>
    <row r="12" spans="1:12" x14ac:dyDescent="0.25">
      <c r="A12" t="s">
        <v>45</v>
      </c>
      <c r="B12" t="s">
        <v>227</v>
      </c>
      <c r="C12" t="s">
        <v>544</v>
      </c>
      <c r="D12" t="s">
        <v>545</v>
      </c>
      <c r="E12" t="s">
        <v>16</v>
      </c>
      <c r="F12">
        <v>28.0079999999999</v>
      </c>
      <c r="G12" t="s">
        <v>17</v>
      </c>
      <c r="J12">
        <v>1.29</v>
      </c>
      <c r="K12">
        <v>36.130000000000003</v>
      </c>
      <c r="L12" t="s">
        <v>546</v>
      </c>
    </row>
    <row r="13" spans="1:12" x14ac:dyDescent="0.25">
      <c r="A13" t="s">
        <v>45</v>
      </c>
      <c r="B13" t="s">
        <v>227</v>
      </c>
      <c r="C13" t="s">
        <v>547</v>
      </c>
      <c r="D13" t="s">
        <v>548</v>
      </c>
      <c r="E13" t="s">
        <v>174</v>
      </c>
      <c r="F13">
        <v>21.289000000000001</v>
      </c>
      <c r="G13" t="s">
        <v>17</v>
      </c>
      <c r="J13">
        <v>1.49</v>
      </c>
      <c r="K13">
        <v>31.72</v>
      </c>
      <c r="L13" t="s">
        <v>71</v>
      </c>
    </row>
    <row r="14" spans="1:12" x14ac:dyDescent="0.25">
      <c r="A14" t="s">
        <v>45</v>
      </c>
      <c r="B14" t="s">
        <v>227</v>
      </c>
      <c r="C14" t="s">
        <v>549</v>
      </c>
      <c r="D14" t="s">
        <v>550</v>
      </c>
      <c r="E14" t="s">
        <v>16</v>
      </c>
      <c r="F14">
        <v>21.0079999999999</v>
      </c>
      <c r="G14" t="s">
        <v>17</v>
      </c>
      <c r="J14">
        <v>1.29</v>
      </c>
      <c r="K14">
        <v>27.1</v>
      </c>
      <c r="L14" t="s">
        <v>551</v>
      </c>
    </row>
    <row r="15" spans="1:12" x14ac:dyDescent="0.25">
      <c r="A15" t="s">
        <v>45</v>
      </c>
      <c r="B15" t="s">
        <v>227</v>
      </c>
      <c r="C15" t="s">
        <v>552</v>
      </c>
      <c r="D15" t="s">
        <v>553</v>
      </c>
      <c r="E15" t="s">
        <v>16</v>
      </c>
      <c r="F15">
        <v>47.2869999999999</v>
      </c>
      <c r="G15" t="s">
        <v>17</v>
      </c>
      <c r="J15">
        <v>1.29</v>
      </c>
      <c r="K15">
        <v>61</v>
      </c>
      <c r="L15" t="s">
        <v>274</v>
      </c>
    </row>
    <row r="16" spans="1:12" x14ac:dyDescent="0.25">
      <c r="A16" t="s">
        <v>45</v>
      </c>
      <c r="B16" t="s">
        <v>227</v>
      </c>
      <c r="C16" t="s">
        <v>554</v>
      </c>
      <c r="D16" t="s">
        <v>555</v>
      </c>
      <c r="E16" t="s">
        <v>65</v>
      </c>
      <c r="F16">
        <v>15</v>
      </c>
      <c r="G16" t="s">
        <v>17</v>
      </c>
      <c r="J16">
        <v>1.25</v>
      </c>
      <c r="K16">
        <v>18.75</v>
      </c>
      <c r="L16" t="s">
        <v>179</v>
      </c>
    </row>
    <row r="17" spans="1:12" x14ac:dyDescent="0.25">
      <c r="A17" t="s">
        <v>45</v>
      </c>
      <c r="B17" t="s">
        <v>227</v>
      </c>
      <c r="C17" t="s">
        <v>556</v>
      </c>
      <c r="D17" t="s">
        <v>557</v>
      </c>
      <c r="E17" t="s">
        <v>65</v>
      </c>
      <c r="F17">
        <v>33.008000000000003</v>
      </c>
      <c r="G17" t="s">
        <v>17</v>
      </c>
      <c r="J17">
        <v>1.25</v>
      </c>
      <c r="K17">
        <v>41.26</v>
      </c>
      <c r="L17" t="s">
        <v>558</v>
      </c>
    </row>
    <row r="18" spans="1:12" x14ac:dyDescent="0.25">
      <c r="F18" s="1">
        <f>SUM(F2:F17)</f>
        <v>415.94999999999942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8"/>
  <sheetViews>
    <sheetView workbookViewId="0">
      <selection activeCell="F8" sqref="F8"/>
    </sheetView>
  </sheetViews>
  <sheetFormatPr defaultRowHeight="15" x14ac:dyDescent="0.25"/>
  <cols>
    <col min="1" max="1" width="10.42578125" bestFit="1" customWidth="1"/>
    <col min="2" max="2" width="21.140625" bestFit="1" customWidth="1"/>
    <col min="3" max="3" width="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</v>
      </c>
      <c r="B2" t="s">
        <v>72</v>
      </c>
      <c r="C2" t="s">
        <v>559</v>
      </c>
      <c r="D2" t="s">
        <v>560</v>
      </c>
      <c r="E2" t="s">
        <v>65</v>
      </c>
      <c r="F2">
        <v>66.543999999999897</v>
      </c>
      <c r="G2" t="s">
        <v>17</v>
      </c>
      <c r="J2">
        <v>1.25</v>
      </c>
      <c r="K2">
        <v>83.18</v>
      </c>
      <c r="L2" t="s">
        <v>561</v>
      </c>
    </row>
    <row r="3" spans="1:12" x14ac:dyDescent="0.25">
      <c r="A3" t="s">
        <v>19</v>
      </c>
      <c r="B3" t="s">
        <v>72</v>
      </c>
      <c r="C3" t="s">
        <v>559</v>
      </c>
      <c r="D3" t="s">
        <v>560</v>
      </c>
      <c r="E3" t="s">
        <v>65</v>
      </c>
      <c r="F3">
        <v>35.112000000000002</v>
      </c>
      <c r="G3" t="s">
        <v>17</v>
      </c>
      <c r="J3">
        <v>1.25</v>
      </c>
      <c r="K3">
        <v>43.89</v>
      </c>
      <c r="L3" t="s">
        <v>562</v>
      </c>
    </row>
    <row r="4" spans="1:12" x14ac:dyDescent="0.25">
      <c r="A4" t="s">
        <v>57</v>
      </c>
      <c r="B4" t="s">
        <v>87</v>
      </c>
      <c r="C4" t="s">
        <v>559</v>
      </c>
      <c r="D4" t="s">
        <v>560</v>
      </c>
      <c r="E4" t="s">
        <v>65</v>
      </c>
      <c r="F4">
        <v>56.173000000000002</v>
      </c>
      <c r="G4" t="s">
        <v>17</v>
      </c>
      <c r="J4">
        <v>1.27</v>
      </c>
      <c r="K4">
        <v>71.34</v>
      </c>
      <c r="L4" t="s">
        <v>563</v>
      </c>
    </row>
    <row r="5" spans="1:12" x14ac:dyDescent="0.25">
      <c r="A5" t="s">
        <v>241</v>
      </c>
      <c r="B5" t="s">
        <v>79</v>
      </c>
      <c r="C5" t="s">
        <v>559</v>
      </c>
      <c r="D5" t="s">
        <v>560</v>
      </c>
      <c r="E5" t="s">
        <v>65</v>
      </c>
      <c r="F5">
        <v>70.168999999999897</v>
      </c>
      <c r="G5" t="s">
        <v>17</v>
      </c>
      <c r="J5">
        <v>1.24</v>
      </c>
      <c r="K5">
        <v>87.01</v>
      </c>
      <c r="L5" t="s">
        <v>564</v>
      </c>
    </row>
    <row r="6" spans="1:12" x14ac:dyDescent="0.25">
      <c r="A6" t="s">
        <v>180</v>
      </c>
      <c r="B6" t="s">
        <v>79</v>
      </c>
      <c r="C6" t="s">
        <v>559</v>
      </c>
      <c r="D6" t="s">
        <v>560</v>
      </c>
      <c r="E6" t="s">
        <v>65</v>
      </c>
      <c r="F6">
        <v>73.637</v>
      </c>
      <c r="G6" t="s">
        <v>17</v>
      </c>
      <c r="J6">
        <v>1.24</v>
      </c>
      <c r="K6">
        <v>91.31</v>
      </c>
      <c r="L6" t="s">
        <v>565</v>
      </c>
    </row>
    <row r="7" spans="1:12" x14ac:dyDescent="0.25">
      <c r="A7" t="s">
        <v>91</v>
      </c>
      <c r="B7" t="s">
        <v>72</v>
      </c>
      <c r="C7" t="s">
        <v>559</v>
      </c>
      <c r="D7" t="s">
        <v>560</v>
      </c>
      <c r="E7" t="s">
        <v>65</v>
      </c>
      <c r="F7">
        <v>57.936999999999898</v>
      </c>
      <c r="G7" t="s">
        <v>17</v>
      </c>
      <c r="J7">
        <v>1.26</v>
      </c>
      <c r="K7">
        <v>73</v>
      </c>
      <c r="L7" t="s">
        <v>566</v>
      </c>
    </row>
    <row r="8" spans="1:12" x14ac:dyDescent="0.25">
      <c r="F8" s="1">
        <f>SUM(F2:F7)</f>
        <v>359.57199999999966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6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26.5703125" bestFit="1" customWidth="1"/>
    <col min="3" max="3" width="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9" max="9" width="17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61</v>
      </c>
      <c r="B2" t="s">
        <v>425</v>
      </c>
      <c r="C2" t="s">
        <v>567</v>
      </c>
      <c r="D2" t="s">
        <v>568</v>
      </c>
      <c r="E2" t="s">
        <v>65</v>
      </c>
      <c r="F2">
        <v>22.7899999999999</v>
      </c>
      <c r="G2" t="s">
        <v>17</v>
      </c>
      <c r="J2">
        <v>1.24</v>
      </c>
      <c r="K2">
        <v>28.26</v>
      </c>
      <c r="L2" t="s">
        <v>569</v>
      </c>
    </row>
    <row r="3" spans="1:12" x14ac:dyDescent="0.25">
      <c r="A3" t="s">
        <v>76</v>
      </c>
      <c r="B3" t="s">
        <v>260</v>
      </c>
      <c r="C3" t="s">
        <v>567</v>
      </c>
      <c r="D3" t="s">
        <v>568</v>
      </c>
      <c r="E3" t="s">
        <v>65</v>
      </c>
      <c r="F3">
        <v>35.863999999999898</v>
      </c>
      <c r="G3" t="s">
        <v>17</v>
      </c>
      <c r="J3">
        <v>1.25</v>
      </c>
      <c r="K3">
        <v>44.83</v>
      </c>
      <c r="L3" t="s">
        <v>352</v>
      </c>
    </row>
    <row r="4" spans="1:12" x14ac:dyDescent="0.25">
      <c r="A4" t="s">
        <v>85</v>
      </c>
      <c r="B4" t="s">
        <v>425</v>
      </c>
      <c r="C4" t="s">
        <v>567</v>
      </c>
      <c r="D4" t="s">
        <v>568</v>
      </c>
      <c r="E4" t="s">
        <v>65</v>
      </c>
      <c r="F4">
        <v>28.492000000000001</v>
      </c>
      <c r="G4" t="s">
        <v>17</v>
      </c>
      <c r="J4">
        <v>1.24</v>
      </c>
      <c r="K4">
        <v>35.33</v>
      </c>
      <c r="L4" t="s">
        <v>112</v>
      </c>
    </row>
    <row r="5" spans="1:12" x14ac:dyDescent="0.25">
      <c r="A5" t="s">
        <v>43</v>
      </c>
      <c r="B5" t="s">
        <v>260</v>
      </c>
      <c r="C5" t="s">
        <v>567</v>
      </c>
      <c r="D5" t="s">
        <v>568</v>
      </c>
      <c r="E5" t="s">
        <v>65</v>
      </c>
      <c r="F5">
        <v>36.412999999999897</v>
      </c>
      <c r="G5" t="s">
        <v>17</v>
      </c>
      <c r="J5">
        <v>1.26</v>
      </c>
      <c r="K5">
        <v>45.88</v>
      </c>
      <c r="L5" t="s">
        <v>506</v>
      </c>
    </row>
    <row r="6" spans="1:12" x14ac:dyDescent="0.25">
      <c r="F6" s="1">
        <f>SUM(F2:F5)</f>
        <v>123.5589999999997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32"/>
  <sheetViews>
    <sheetView workbookViewId="0">
      <selection activeCell="I20" sqref="I20"/>
    </sheetView>
  </sheetViews>
  <sheetFormatPr defaultRowHeight="15" x14ac:dyDescent="0.25"/>
  <cols>
    <col min="1" max="1" width="10.42578125" bestFit="1" customWidth="1"/>
    <col min="2" max="2" width="26.5703125" bestFit="1" customWidth="1"/>
    <col min="3" max="3" width="8.5703125" bestFit="1" customWidth="1"/>
    <col min="4" max="4" width="18.28515625" bestFit="1" customWidth="1"/>
    <col min="5" max="5" width="22.85546875" bestFit="1" customWidth="1"/>
    <col min="6" max="6" width="9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</v>
      </c>
      <c r="B2" t="s">
        <v>99</v>
      </c>
      <c r="C2" t="s">
        <v>570</v>
      </c>
      <c r="D2" t="s">
        <v>571</v>
      </c>
      <c r="E2" t="s">
        <v>16</v>
      </c>
      <c r="F2">
        <v>57.219000000000001</v>
      </c>
      <c r="G2" t="s">
        <v>17</v>
      </c>
      <c r="J2">
        <v>1.28</v>
      </c>
      <c r="K2">
        <v>73.239999999999995</v>
      </c>
      <c r="L2" t="s">
        <v>399</v>
      </c>
    </row>
    <row r="3" spans="1:12" x14ac:dyDescent="0.25">
      <c r="A3" t="s">
        <v>12</v>
      </c>
      <c r="B3" t="s">
        <v>72</v>
      </c>
      <c r="C3" t="s">
        <v>572</v>
      </c>
      <c r="D3" t="s">
        <v>573</v>
      </c>
      <c r="E3" t="s">
        <v>16</v>
      </c>
      <c r="F3">
        <v>60.655999999999899</v>
      </c>
      <c r="G3" t="s">
        <v>17</v>
      </c>
      <c r="J3">
        <v>1.28</v>
      </c>
      <c r="K3">
        <v>77.64</v>
      </c>
      <c r="L3" t="s">
        <v>574</v>
      </c>
    </row>
    <row r="4" spans="1:12" x14ac:dyDescent="0.25">
      <c r="A4" t="s">
        <v>12</v>
      </c>
      <c r="B4" t="s">
        <v>99</v>
      </c>
      <c r="C4" t="s">
        <v>570</v>
      </c>
      <c r="D4" t="s">
        <v>571</v>
      </c>
      <c r="E4" t="s">
        <v>16</v>
      </c>
      <c r="F4">
        <v>48.578000000000003</v>
      </c>
      <c r="G4" t="s">
        <v>17</v>
      </c>
      <c r="J4">
        <v>1.28</v>
      </c>
      <c r="K4">
        <v>62.18</v>
      </c>
      <c r="L4" t="s">
        <v>575</v>
      </c>
    </row>
    <row r="5" spans="1:12" x14ac:dyDescent="0.25">
      <c r="A5" t="s">
        <v>12</v>
      </c>
      <c r="B5" t="s">
        <v>99</v>
      </c>
      <c r="C5" t="s">
        <v>570</v>
      </c>
      <c r="D5" t="s">
        <v>571</v>
      </c>
      <c r="E5" t="s">
        <v>16</v>
      </c>
      <c r="F5">
        <v>101.789</v>
      </c>
      <c r="G5" t="s">
        <v>17</v>
      </c>
      <c r="J5">
        <v>1.28</v>
      </c>
      <c r="K5">
        <v>130.29</v>
      </c>
      <c r="L5" t="s">
        <v>576</v>
      </c>
    </row>
    <row r="6" spans="1:12" x14ac:dyDescent="0.25">
      <c r="A6" t="s">
        <v>304</v>
      </c>
      <c r="B6" t="s">
        <v>425</v>
      </c>
      <c r="C6" t="s">
        <v>248</v>
      </c>
      <c r="D6" t="s">
        <v>577</v>
      </c>
      <c r="E6" t="s">
        <v>16</v>
      </c>
      <c r="F6">
        <v>49.936999999999898</v>
      </c>
      <c r="G6" t="s">
        <v>17</v>
      </c>
      <c r="J6">
        <v>1.27</v>
      </c>
      <c r="K6">
        <v>63.42</v>
      </c>
      <c r="L6" t="s">
        <v>578</v>
      </c>
    </row>
    <row r="7" spans="1:12" x14ac:dyDescent="0.25">
      <c r="A7" t="s">
        <v>57</v>
      </c>
      <c r="B7" t="s">
        <v>99</v>
      </c>
      <c r="C7" t="s">
        <v>579</v>
      </c>
      <c r="D7" t="s">
        <v>580</v>
      </c>
      <c r="E7" t="s">
        <v>16</v>
      </c>
      <c r="F7">
        <v>80.281000000000006</v>
      </c>
      <c r="G7" t="s">
        <v>17</v>
      </c>
      <c r="J7">
        <v>1.28</v>
      </c>
      <c r="K7">
        <v>102.76</v>
      </c>
      <c r="L7" t="s">
        <v>387</v>
      </c>
    </row>
    <row r="8" spans="1:12" x14ac:dyDescent="0.25">
      <c r="A8" t="s">
        <v>57</v>
      </c>
      <c r="B8" t="s">
        <v>79</v>
      </c>
      <c r="C8" t="s">
        <v>581</v>
      </c>
      <c r="D8" t="s">
        <v>582</v>
      </c>
      <c r="E8" t="s">
        <v>16</v>
      </c>
      <c r="F8">
        <v>65.218999999999895</v>
      </c>
      <c r="G8" t="s">
        <v>17</v>
      </c>
      <c r="J8">
        <v>1.28</v>
      </c>
      <c r="K8">
        <v>83.48</v>
      </c>
      <c r="L8" t="s">
        <v>583</v>
      </c>
    </row>
    <row r="9" spans="1:12" x14ac:dyDescent="0.25">
      <c r="A9" t="s">
        <v>57</v>
      </c>
      <c r="B9" t="s">
        <v>79</v>
      </c>
      <c r="C9" t="s">
        <v>584</v>
      </c>
      <c r="D9" t="s">
        <v>585</v>
      </c>
      <c r="E9" t="s">
        <v>16</v>
      </c>
      <c r="F9">
        <v>24.102</v>
      </c>
      <c r="G9" t="s">
        <v>17</v>
      </c>
      <c r="J9">
        <v>1.28</v>
      </c>
      <c r="K9">
        <v>30.85</v>
      </c>
      <c r="L9" t="s">
        <v>586</v>
      </c>
    </row>
    <row r="10" spans="1:12" x14ac:dyDescent="0.25">
      <c r="A10" t="s">
        <v>76</v>
      </c>
      <c r="B10" t="s">
        <v>99</v>
      </c>
      <c r="C10" t="s">
        <v>570</v>
      </c>
      <c r="D10" t="s">
        <v>571</v>
      </c>
      <c r="E10" t="s">
        <v>16</v>
      </c>
      <c r="F10">
        <v>45.813000000000002</v>
      </c>
      <c r="G10" t="s">
        <v>17</v>
      </c>
      <c r="J10">
        <v>1.28</v>
      </c>
      <c r="K10">
        <v>58.64</v>
      </c>
      <c r="L10" t="s">
        <v>587</v>
      </c>
    </row>
    <row r="11" spans="1:12" x14ac:dyDescent="0.25">
      <c r="A11" t="s">
        <v>76</v>
      </c>
      <c r="B11" t="s">
        <v>99</v>
      </c>
      <c r="C11" t="s">
        <v>588</v>
      </c>
      <c r="D11" t="s">
        <v>589</v>
      </c>
      <c r="E11" t="s">
        <v>16</v>
      </c>
      <c r="F11">
        <v>100</v>
      </c>
      <c r="G11" t="s">
        <v>17</v>
      </c>
      <c r="J11">
        <v>1.28</v>
      </c>
      <c r="K11">
        <v>128</v>
      </c>
      <c r="L11" t="s">
        <v>590</v>
      </c>
    </row>
    <row r="12" spans="1:12" x14ac:dyDescent="0.25">
      <c r="A12" t="s">
        <v>24</v>
      </c>
      <c r="B12" t="s">
        <v>99</v>
      </c>
      <c r="C12" t="s">
        <v>591</v>
      </c>
      <c r="D12" t="s">
        <v>592</v>
      </c>
      <c r="E12" t="s">
        <v>16</v>
      </c>
      <c r="F12">
        <v>63.851999999999897</v>
      </c>
      <c r="G12" t="s">
        <v>17</v>
      </c>
      <c r="J12">
        <v>1.28</v>
      </c>
      <c r="K12">
        <v>81.73</v>
      </c>
      <c r="L12" t="s">
        <v>593</v>
      </c>
    </row>
    <row r="13" spans="1:12" x14ac:dyDescent="0.25">
      <c r="A13" t="s">
        <v>24</v>
      </c>
      <c r="B13" t="s">
        <v>99</v>
      </c>
      <c r="C13" t="s">
        <v>570</v>
      </c>
      <c r="D13" t="s">
        <v>571</v>
      </c>
      <c r="E13" t="s">
        <v>16</v>
      </c>
      <c r="F13">
        <v>39.68</v>
      </c>
      <c r="G13" t="s">
        <v>17</v>
      </c>
      <c r="J13">
        <v>1.28</v>
      </c>
      <c r="K13">
        <v>50.79</v>
      </c>
      <c r="L13" t="s">
        <v>457</v>
      </c>
    </row>
    <row r="14" spans="1:12" x14ac:dyDescent="0.25">
      <c r="A14" t="s">
        <v>24</v>
      </c>
      <c r="B14" t="s">
        <v>79</v>
      </c>
      <c r="C14" t="s">
        <v>584</v>
      </c>
      <c r="D14" t="s">
        <v>585</v>
      </c>
      <c r="E14" t="s">
        <v>16</v>
      </c>
      <c r="F14">
        <v>90.656000000000006</v>
      </c>
      <c r="G14" t="s">
        <v>17</v>
      </c>
      <c r="J14">
        <v>1.28</v>
      </c>
      <c r="K14">
        <v>116.04</v>
      </c>
      <c r="L14" t="s">
        <v>457</v>
      </c>
    </row>
    <row r="15" spans="1:12" x14ac:dyDescent="0.25">
      <c r="A15" t="s">
        <v>24</v>
      </c>
      <c r="B15" t="s">
        <v>79</v>
      </c>
      <c r="C15" t="s">
        <v>584</v>
      </c>
      <c r="D15" t="s">
        <v>585</v>
      </c>
      <c r="E15" t="s">
        <v>65</v>
      </c>
      <c r="F15">
        <v>24.242000000000001</v>
      </c>
      <c r="G15" t="s">
        <v>17</v>
      </c>
      <c r="J15">
        <v>1.24</v>
      </c>
      <c r="K15">
        <v>30.06</v>
      </c>
      <c r="L15" t="s">
        <v>457</v>
      </c>
    </row>
    <row r="16" spans="1:12" x14ac:dyDescent="0.25">
      <c r="A16" t="s">
        <v>28</v>
      </c>
      <c r="B16" t="s">
        <v>99</v>
      </c>
      <c r="C16" t="s">
        <v>588</v>
      </c>
      <c r="D16" t="s">
        <v>589</v>
      </c>
      <c r="E16" t="s">
        <v>16</v>
      </c>
      <c r="F16">
        <v>100</v>
      </c>
      <c r="G16" t="s">
        <v>17</v>
      </c>
      <c r="J16">
        <v>1.28</v>
      </c>
      <c r="K16">
        <v>128</v>
      </c>
      <c r="L16" t="s">
        <v>267</v>
      </c>
    </row>
    <row r="17" spans="1:12" x14ac:dyDescent="0.25">
      <c r="A17" t="s">
        <v>28</v>
      </c>
      <c r="B17" t="s">
        <v>99</v>
      </c>
      <c r="C17" t="s">
        <v>594</v>
      </c>
      <c r="D17" t="s">
        <v>595</v>
      </c>
      <c r="E17" t="s">
        <v>16</v>
      </c>
      <c r="F17">
        <v>22.492000000000001</v>
      </c>
      <c r="G17" t="s">
        <v>17</v>
      </c>
      <c r="J17">
        <v>1.28</v>
      </c>
      <c r="K17">
        <v>28.79</v>
      </c>
      <c r="L17" t="s">
        <v>596</v>
      </c>
    </row>
    <row r="18" spans="1:12" x14ac:dyDescent="0.25">
      <c r="A18" t="s">
        <v>28</v>
      </c>
      <c r="B18" t="s">
        <v>99</v>
      </c>
      <c r="C18" t="s">
        <v>597</v>
      </c>
      <c r="D18" t="s">
        <v>598</v>
      </c>
      <c r="E18" t="s">
        <v>16</v>
      </c>
      <c r="F18">
        <v>39.063000000000002</v>
      </c>
      <c r="G18" t="s">
        <v>17</v>
      </c>
      <c r="J18">
        <v>1.28</v>
      </c>
      <c r="K18">
        <v>50</v>
      </c>
      <c r="L18" t="s">
        <v>599</v>
      </c>
    </row>
    <row r="19" spans="1:12" x14ac:dyDescent="0.25">
      <c r="A19" t="s">
        <v>28</v>
      </c>
      <c r="B19" t="s">
        <v>99</v>
      </c>
      <c r="C19" t="s">
        <v>594</v>
      </c>
      <c r="D19" t="s">
        <v>595</v>
      </c>
      <c r="E19" t="s">
        <v>65</v>
      </c>
      <c r="F19">
        <v>20</v>
      </c>
      <c r="G19" t="s">
        <v>17</v>
      </c>
      <c r="J19">
        <v>1.25</v>
      </c>
      <c r="K19">
        <v>25</v>
      </c>
      <c r="L19" t="s">
        <v>60</v>
      </c>
    </row>
    <row r="20" spans="1:12" x14ac:dyDescent="0.25">
      <c r="A20" t="s">
        <v>241</v>
      </c>
      <c r="B20" t="s">
        <v>79</v>
      </c>
      <c r="C20" t="s">
        <v>594</v>
      </c>
      <c r="D20" t="s">
        <v>595</v>
      </c>
      <c r="E20" t="s">
        <v>16</v>
      </c>
      <c r="F20">
        <v>20.719000000000001</v>
      </c>
      <c r="G20" t="s">
        <v>17</v>
      </c>
      <c r="J20">
        <v>1.28</v>
      </c>
      <c r="K20">
        <v>26.52</v>
      </c>
      <c r="L20" t="s">
        <v>600</v>
      </c>
    </row>
    <row r="21" spans="1:12" x14ac:dyDescent="0.25">
      <c r="A21" t="s">
        <v>85</v>
      </c>
      <c r="B21" t="s">
        <v>79</v>
      </c>
      <c r="C21" t="s">
        <v>594</v>
      </c>
      <c r="D21" t="s">
        <v>595</v>
      </c>
      <c r="E21" t="s">
        <v>65</v>
      </c>
      <c r="F21">
        <v>41.991999999999898</v>
      </c>
      <c r="G21" t="s">
        <v>17</v>
      </c>
      <c r="J21">
        <v>1.24</v>
      </c>
      <c r="K21">
        <v>52.07</v>
      </c>
      <c r="L21" t="s">
        <v>601</v>
      </c>
    </row>
    <row r="22" spans="1:12" x14ac:dyDescent="0.25">
      <c r="A22" t="s">
        <v>101</v>
      </c>
      <c r="B22" t="s">
        <v>99</v>
      </c>
      <c r="C22" t="s">
        <v>579</v>
      </c>
      <c r="D22" t="s">
        <v>580</v>
      </c>
      <c r="E22" t="s">
        <v>16</v>
      </c>
      <c r="F22">
        <v>96</v>
      </c>
      <c r="G22" t="s">
        <v>17</v>
      </c>
      <c r="J22">
        <v>1.29</v>
      </c>
      <c r="K22">
        <v>123.84</v>
      </c>
      <c r="L22" t="s">
        <v>324</v>
      </c>
    </row>
    <row r="23" spans="1:12" x14ac:dyDescent="0.25">
      <c r="A23" t="s">
        <v>101</v>
      </c>
      <c r="B23" t="s">
        <v>79</v>
      </c>
      <c r="C23" t="s">
        <v>594</v>
      </c>
      <c r="D23" t="s">
        <v>595</v>
      </c>
      <c r="E23" t="s">
        <v>16</v>
      </c>
      <c r="F23">
        <v>22.3569999999999</v>
      </c>
      <c r="G23" t="s">
        <v>17</v>
      </c>
      <c r="J23">
        <v>1.29</v>
      </c>
      <c r="K23">
        <v>28.84</v>
      </c>
      <c r="L23" t="s">
        <v>602</v>
      </c>
    </row>
    <row r="24" spans="1:12" x14ac:dyDescent="0.25">
      <c r="A24" t="s">
        <v>43</v>
      </c>
      <c r="B24" t="s">
        <v>99</v>
      </c>
      <c r="C24" t="s">
        <v>588</v>
      </c>
      <c r="D24" t="s">
        <v>589</v>
      </c>
      <c r="E24" t="s">
        <v>16</v>
      </c>
      <c r="F24">
        <v>100</v>
      </c>
      <c r="G24" t="s">
        <v>17</v>
      </c>
      <c r="J24">
        <v>1.3</v>
      </c>
      <c r="K24">
        <v>130</v>
      </c>
      <c r="L24" t="s">
        <v>603</v>
      </c>
    </row>
    <row r="25" spans="1:12" x14ac:dyDescent="0.25">
      <c r="A25" t="s">
        <v>43</v>
      </c>
      <c r="B25" t="s">
        <v>99</v>
      </c>
      <c r="C25" t="s">
        <v>597</v>
      </c>
      <c r="D25" t="s">
        <v>598</v>
      </c>
      <c r="E25" t="s">
        <v>16</v>
      </c>
      <c r="F25">
        <v>38.462000000000003</v>
      </c>
      <c r="G25" t="s">
        <v>17</v>
      </c>
      <c r="J25">
        <v>1.3</v>
      </c>
      <c r="K25">
        <v>50</v>
      </c>
      <c r="L25" t="s">
        <v>604</v>
      </c>
    </row>
    <row r="26" spans="1:12" x14ac:dyDescent="0.25">
      <c r="A26" t="s">
        <v>43</v>
      </c>
      <c r="B26" t="s">
        <v>99</v>
      </c>
      <c r="C26" t="s">
        <v>570</v>
      </c>
      <c r="D26" t="s">
        <v>571</v>
      </c>
      <c r="E26" t="s">
        <v>65</v>
      </c>
      <c r="F26">
        <v>21.079000000000001</v>
      </c>
      <c r="G26" t="s">
        <v>17</v>
      </c>
      <c r="J26">
        <v>1.26</v>
      </c>
      <c r="K26">
        <v>26.56</v>
      </c>
      <c r="L26" t="s">
        <v>605</v>
      </c>
    </row>
    <row r="27" spans="1:12" x14ac:dyDescent="0.25">
      <c r="A27" t="s">
        <v>91</v>
      </c>
      <c r="B27" t="s">
        <v>99</v>
      </c>
      <c r="C27" t="s">
        <v>591</v>
      </c>
      <c r="D27" t="s">
        <v>592</v>
      </c>
      <c r="E27" t="s">
        <v>16</v>
      </c>
      <c r="F27">
        <v>74.037999999999897</v>
      </c>
      <c r="G27" t="s">
        <v>17</v>
      </c>
      <c r="J27">
        <v>1.3</v>
      </c>
      <c r="K27">
        <v>96.25</v>
      </c>
      <c r="L27" t="s">
        <v>290</v>
      </c>
    </row>
    <row r="28" spans="1:12" x14ac:dyDescent="0.25">
      <c r="A28" t="s">
        <v>45</v>
      </c>
      <c r="B28" t="s">
        <v>72</v>
      </c>
      <c r="C28" t="s">
        <v>584</v>
      </c>
      <c r="D28" t="s">
        <v>585</v>
      </c>
      <c r="E28" t="s">
        <v>16</v>
      </c>
      <c r="F28">
        <v>13.1229999999999</v>
      </c>
      <c r="G28" t="s">
        <v>17</v>
      </c>
      <c r="J28">
        <v>1.3</v>
      </c>
      <c r="K28">
        <v>17.059999999999999</v>
      </c>
      <c r="L28" t="s">
        <v>606</v>
      </c>
    </row>
    <row r="29" spans="1:12" x14ac:dyDescent="0.25">
      <c r="A29" t="s">
        <v>45</v>
      </c>
      <c r="B29" t="s">
        <v>79</v>
      </c>
      <c r="C29" t="s">
        <v>579</v>
      </c>
      <c r="D29" t="s">
        <v>580</v>
      </c>
      <c r="E29" t="s">
        <v>16</v>
      </c>
      <c r="F29">
        <v>115.67700000000001</v>
      </c>
      <c r="G29" t="s">
        <v>17</v>
      </c>
      <c r="J29">
        <v>1.3</v>
      </c>
      <c r="K29">
        <v>150.38</v>
      </c>
      <c r="L29" t="s">
        <v>607</v>
      </c>
    </row>
    <row r="30" spans="1:12" x14ac:dyDescent="0.25">
      <c r="A30" t="s">
        <v>45</v>
      </c>
      <c r="B30" t="s">
        <v>79</v>
      </c>
      <c r="C30" t="s">
        <v>594</v>
      </c>
      <c r="D30" t="s">
        <v>595</v>
      </c>
      <c r="E30" t="s">
        <v>65</v>
      </c>
      <c r="F30">
        <v>20</v>
      </c>
      <c r="G30" t="s">
        <v>17</v>
      </c>
      <c r="J30">
        <v>1.25</v>
      </c>
      <c r="K30">
        <v>25</v>
      </c>
      <c r="L30" t="s">
        <v>98</v>
      </c>
    </row>
    <row r="31" spans="1:12" x14ac:dyDescent="0.25">
      <c r="A31" t="s">
        <v>116</v>
      </c>
      <c r="B31" t="s">
        <v>99</v>
      </c>
      <c r="C31" t="s">
        <v>597</v>
      </c>
      <c r="D31" t="s">
        <v>598</v>
      </c>
      <c r="E31" t="s">
        <v>16</v>
      </c>
      <c r="F31">
        <v>45.802</v>
      </c>
      <c r="G31" t="s">
        <v>17</v>
      </c>
      <c r="J31">
        <v>1.31</v>
      </c>
      <c r="K31">
        <v>60</v>
      </c>
      <c r="L31" t="s">
        <v>608</v>
      </c>
    </row>
    <row r="32" spans="1:12" x14ac:dyDescent="0.25">
      <c r="F32" s="1">
        <f>SUM(F2:F31)</f>
        <v>1642.8279999999988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4"/>
  <sheetViews>
    <sheetView workbookViewId="0">
      <selection activeCell="F4" sqref="F4"/>
    </sheetView>
  </sheetViews>
  <sheetFormatPr defaultRowHeight="15" x14ac:dyDescent="0.25"/>
  <cols>
    <col min="1" max="1" width="10.42578125" bestFit="1" customWidth="1"/>
    <col min="2" max="2" width="27.140625" bestFit="1" customWidth="1"/>
    <col min="3" max="3" width="5" bestFit="1" customWidth="1"/>
    <col min="4" max="4" width="18.28515625" bestFit="1" customWidth="1"/>
    <col min="5" max="5" width="16.42578125" bestFit="1" customWidth="1"/>
    <col min="6" max="6" width="7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</v>
      </c>
      <c r="B2" t="s">
        <v>87</v>
      </c>
      <c r="C2" t="s">
        <v>609</v>
      </c>
      <c r="D2" t="s">
        <v>610</v>
      </c>
      <c r="E2" t="s">
        <v>16</v>
      </c>
      <c r="F2">
        <v>30</v>
      </c>
      <c r="G2" t="s">
        <v>17</v>
      </c>
      <c r="J2">
        <v>1.3</v>
      </c>
      <c r="K2">
        <v>39</v>
      </c>
      <c r="L2" t="s">
        <v>256</v>
      </c>
    </row>
    <row r="3" spans="1:12" x14ac:dyDescent="0.25">
      <c r="A3" t="s">
        <v>81</v>
      </c>
      <c r="B3" t="s">
        <v>227</v>
      </c>
      <c r="C3" t="s">
        <v>609</v>
      </c>
      <c r="D3" t="s">
        <v>610</v>
      </c>
      <c r="E3" t="s">
        <v>16</v>
      </c>
      <c r="F3">
        <v>16.047000000000001</v>
      </c>
      <c r="G3" t="s">
        <v>17</v>
      </c>
      <c r="J3">
        <v>1.27</v>
      </c>
      <c r="K3">
        <v>20.38</v>
      </c>
      <c r="L3" t="s">
        <v>155</v>
      </c>
    </row>
    <row r="4" spans="1:12" x14ac:dyDescent="0.25">
      <c r="F4" s="1">
        <f>SUM(F2:F3)</f>
        <v>46.046999999999997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5"/>
  <sheetViews>
    <sheetView workbookViewId="0">
      <selection activeCell="E1" sqref="E1:E1048576"/>
    </sheetView>
  </sheetViews>
  <sheetFormatPr defaultRowHeight="15" x14ac:dyDescent="0.25"/>
  <cols>
    <col min="1" max="1" width="10.42578125" bestFit="1" customWidth="1"/>
    <col min="2" max="2" width="8.42578125" customWidth="1"/>
    <col min="3" max="3" width="5" bestFit="1" customWidth="1"/>
    <col min="4" max="4" width="18.28515625" bestFit="1" customWidth="1"/>
    <col min="5" max="5" width="16.4257812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118</v>
      </c>
      <c r="B2" t="s">
        <v>72</v>
      </c>
      <c r="C2" t="s">
        <v>611</v>
      </c>
      <c r="D2" t="s">
        <v>612</v>
      </c>
      <c r="E2" t="s">
        <v>16</v>
      </c>
      <c r="F2">
        <v>62.094000000000001</v>
      </c>
      <c r="G2" t="s">
        <v>17</v>
      </c>
      <c r="J2">
        <v>1.28</v>
      </c>
      <c r="K2">
        <v>79.48</v>
      </c>
      <c r="L2" t="s">
        <v>613</v>
      </c>
    </row>
    <row r="3" spans="1:12" x14ac:dyDescent="0.25">
      <c r="A3" t="s">
        <v>38</v>
      </c>
      <c r="B3" t="s">
        <v>72</v>
      </c>
      <c r="C3" t="s">
        <v>611</v>
      </c>
      <c r="D3" t="s">
        <v>612</v>
      </c>
      <c r="E3" t="s">
        <v>16</v>
      </c>
      <c r="F3">
        <v>30.07</v>
      </c>
      <c r="G3" t="s">
        <v>17</v>
      </c>
      <c r="J3">
        <v>1.28</v>
      </c>
      <c r="K3">
        <v>38.49</v>
      </c>
      <c r="L3" t="s">
        <v>217</v>
      </c>
    </row>
    <row r="4" spans="1:12" x14ac:dyDescent="0.25">
      <c r="A4" t="s">
        <v>116</v>
      </c>
      <c r="B4" t="s">
        <v>123</v>
      </c>
      <c r="C4" t="s">
        <v>611</v>
      </c>
      <c r="D4" t="s">
        <v>612</v>
      </c>
      <c r="E4" t="s">
        <v>16</v>
      </c>
      <c r="F4">
        <v>40.212000000000003</v>
      </c>
      <c r="G4" t="s">
        <v>17</v>
      </c>
      <c r="J4">
        <v>1.32</v>
      </c>
      <c r="K4">
        <v>53.08</v>
      </c>
      <c r="L4" t="s">
        <v>614</v>
      </c>
    </row>
    <row r="5" spans="1:12" x14ac:dyDescent="0.25">
      <c r="F5" s="1">
        <f>SUM(F2:F4)</f>
        <v>132.376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L19"/>
  <sheetViews>
    <sheetView workbookViewId="0">
      <selection activeCell="F19" sqref="F19"/>
    </sheetView>
  </sheetViews>
  <sheetFormatPr defaultRowHeight="15" x14ac:dyDescent="0.25"/>
  <cols>
    <col min="1" max="1" width="10.42578125" bestFit="1" customWidth="1"/>
    <col min="2" max="2" width="32.42578125" bestFit="1" customWidth="1"/>
    <col min="3" max="3" width="10.710937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</v>
      </c>
      <c r="B2" t="s">
        <v>615</v>
      </c>
      <c r="C2" t="s">
        <v>616</v>
      </c>
      <c r="D2" t="s">
        <v>617</v>
      </c>
      <c r="E2" t="s">
        <v>65</v>
      </c>
      <c r="F2">
        <v>25.553000000000001</v>
      </c>
      <c r="G2" t="s">
        <v>17</v>
      </c>
      <c r="J2">
        <v>1.23</v>
      </c>
      <c r="K2">
        <v>31.43</v>
      </c>
      <c r="L2" t="s">
        <v>618</v>
      </c>
    </row>
    <row r="3" spans="1:12" x14ac:dyDescent="0.25">
      <c r="A3" t="s">
        <v>61</v>
      </c>
      <c r="B3" t="s">
        <v>146</v>
      </c>
      <c r="C3" t="s">
        <v>619</v>
      </c>
      <c r="D3" t="s">
        <v>620</v>
      </c>
      <c r="E3" t="s">
        <v>65</v>
      </c>
      <c r="F3">
        <v>35.5429999999999</v>
      </c>
      <c r="G3" t="s">
        <v>17</v>
      </c>
      <c r="J3">
        <v>1.27</v>
      </c>
      <c r="K3">
        <v>45.14</v>
      </c>
      <c r="L3" t="s">
        <v>621</v>
      </c>
    </row>
    <row r="4" spans="1:12" x14ac:dyDescent="0.25">
      <c r="A4" t="s">
        <v>61</v>
      </c>
      <c r="B4" t="s">
        <v>146</v>
      </c>
      <c r="C4" t="s">
        <v>622</v>
      </c>
      <c r="D4" t="s">
        <v>623</v>
      </c>
      <c r="E4" t="s">
        <v>65</v>
      </c>
      <c r="F4">
        <v>27.661000000000001</v>
      </c>
      <c r="G4" t="s">
        <v>17</v>
      </c>
      <c r="J4">
        <v>1.27</v>
      </c>
      <c r="K4">
        <v>35.130000000000003</v>
      </c>
      <c r="L4" t="s">
        <v>624</v>
      </c>
    </row>
    <row r="5" spans="1:12" x14ac:dyDescent="0.25">
      <c r="A5" t="s">
        <v>106</v>
      </c>
      <c r="B5" t="s">
        <v>625</v>
      </c>
      <c r="C5" t="s">
        <v>622</v>
      </c>
      <c r="D5" t="s">
        <v>623</v>
      </c>
      <c r="E5" t="s">
        <v>65</v>
      </c>
      <c r="F5">
        <v>20.030999999999899</v>
      </c>
      <c r="G5" t="s">
        <v>17</v>
      </c>
      <c r="J5">
        <v>1.28</v>
      </c>
      <c r="K5">
        <v>25.64</v>
      </c>
      <c r="L5" t="s">
        <v>626</v>
      </c>
    </row>
    <row r="6" spans="1:12" x14ac:dyDescent="0.25">
      <c r="A6" t="s">
        <v>304</v>
      </c>
      <c r="B6" t="s">
        <v>140</v>
      </c>
      <c r="C6" t="s">
        <v>627</v>
      </c>
      <c r="D6" t="s">
        <v>628</v>
      </c>
      <c r="E6" t="s">
        <v>65</v>
      </c>
      <c r="F6">
        <v>17.9439999999999</v>
      </c>
      <c r="G6" t="s">
        <v>17</v>
      </c>
      <c r="J6">
        <v>1.25</v>
      </c>
      <c r="K6">
        <v>22.43</v>
      </c>
      <c r="L6" t="s">
        <v>629</v>
      </c>
    </row>
    <row r="7" spans="1:12" x14ac:dyDescent="0.25">
      <c r="A7" t="s">
        <v>24</v>
      </c>
      <c r="B7" t="s">
        <v>123</v>
      </c>
      <c r="C7" t="s">
        <v>630</v>
      </c>
      <c r="D7" t="s">
        <v>631</v>
      </c>
      <c r="E7" t="s">
        <v>65</v>
      </c>
      <c r="F7">
        <v>30.047000000000001</v>
      </c>
      <c r="G7" t="s">
        <v>17</v>
      </c>
      <c r="J7">
        <v>1.27</v>
      </c>
      <c r="K7">
        <v>38.159999999999997</v>
      </c>
      <c r="L7" t="s">
        <v>59</v>
      </c>
    </row>
    <row r="8" spans="1:12" x14ac:dyDescent="0.25">
      <c r="A8" t="s">
        <v>28</v>
      </c>
      <c r="B8" t="s">
        <v>140</v>
      </c>
      <c r="C8" t="s">
        <v>627</v>
      </c>
      <c r="D8" t="s">
        <v>628</v>
      </c>
      <c r="E8" t="s">
        <v>65</v>
      </c>
      <c r="F8">
        <v>23</v>
      </c>
      <c r="G8" t="s">
        <v>17</v>
      </c>
      <c r="J8">
        <v>1.25</v>
      </c>
      <c r="K8">
        <v>28.75</v>
      </c>
      <c r="L8" t="s">
        <v>632</v>
      </c>
    </row>
    <row r="9" spans="1:12" x14ac:dyDescent="0.25">
      <c r="A9" t="s">
        <v>28</v>
      </c>
      <c r="B9" t="s">
        <v>365</v>
      </c>
      <c r="C9" t="s">
        <v>619</v>
      </c>
      <c r="D9" t="s">
        <v>620</v>
      </c>
      <c r="E9" t="s">
        <v>65</v>
      </c>
      <c r="F9">
        <v>32.338999999999899</v>
      </c>
      <c r="G9" t="s">
        <v>17</v>
      </c>
      <c r="J9">
        <v>1.27</v>
      </c>
      <c r="K9">
        <v>41.07</v>
      </c>
      <c r="L9" t="s">
        <v>329</v>
      </c>
    </row>
    <row r="10" spans="1:12" x14ac:dyDescent="0.25">
      <c r="A10" t="s">
        <v>241</v>
      </c>
      <c r="B10" t="s">
        <v>128</v>
      </c>
      <c r="C10" t="s">
        <v>616</v>
      </c>
      <c r="D10" t="s">
        <v>617</v>
      </c>
      <c r="E10" t="s">
        <v>174</v>
      </c>
      <c r="F10">
        <v>25.390999999999899</v>
      </c>
      <c r="G10" t="s">
        <v>17</v>
      </c>
      <c r="J10">
        <v>1.51</v>
      </c>
      <c r="K10">
        <v>38.340000000000003</v>
      </c>
      <c r="L10" t="s">
        <v>633</v>
      </c>
    </row>
    <row r="11" spans="1:12" x14ac:dyDescent="0.25">
      <c r="A11" t="s">
        <v>81</v>
      </c>
      <c r="B11" t="s">
        <v>146</v>
      </c>
      <c r="C11" t="s">
        <v>622</v>
      </c>
      <c r="D11" t="s">
        <v>623</v>
      </c>
      <c r="E11" t="s">
        <v>65</v>
      </c>
      <c r="F11">
        <v>29.661000000000001</v>
      </c>
      <c r="G11" t="s">
        <v>17</v>
      </c>
      <c r="J11">
        <v>1.27</v>
      </c>
      <c r="K11">
        <v>37.67</v>
      </c>
      <c r="L11" t="s">
        <v>576</v>
      </c>
    </row>
    <row r="12" spans="1:12" x14ac:dyDescent="0.25">
      <c r="A12" t="s">
        <v>118</v>
      </c>
      <c r="B12" t="s">
        <v>123</v>
      </c>
      <c r="C12" t="s">
        <v>634</v>
      </c>
      <c r="D12" t="s">
        <v>635</v>
      </c>
      <c r="E12" t="s">
        <v>636</v>
      </c>
      <c r="F12">
        <v>23.695</v>
      </c>
      <c r="G12" t="s">
        <v>17</v>
      </c>
      <c r="J12">
        <v>0.59</v>
      </c>
      <c r="K12">
        <v>13.98</v>
      </c>
      <c r="L12" t="s">
        <v>637</v>
      </c>
    </row>
    <row r="13" spans="1:12" x14ac:dyDescent="0.25">
      <c r="A13" t="s">
        <v>118</v>
      </c>
      <c r="B13" t="s">
        <v>123</v>
      </c>
      <c r="C13" t="s">
        <v>638</v>
      </c>
      <c r="D13" t="s">
        <v>639</v>
      </c>
      <c r="E13" t="s">
        <v>170</v>
      </c>
      <c r="F13">
        <v>59.71</v>
      </c>
      <c r="G13" t="s">
        <v>17</v>
      </c>
      <c r="J13">
        <v>1.55</v>
      </c>
      <c r="K13">
        <v>92.55</v>
      </c>
      <c r="L13" t="s">
        <v>291</v>
      </c>
    </row>
    <row r="14" spans="1:12" x14ac:dyDescent="0.25">
      <c r="A14" t="s">
        <v>36</v>
      </c>
      <c r="B14" t="s">
        <v>388</v>
      </c>
      <c r="C14" t="s">
        <v>616</v>
      </c>
      <c r="D14" t="s">
        <v>617</v>
      </c>
      <c r="E14" t="s">
        <v>174</v>
      </c>
      <c r="F14">
        <v>26.893000000000001</v>
      </c>
      <c r="G14" t="s">
        <v>17</v>
      </c>
      <c r="J14">
        <v>1.49</v>
      </c>
      <c r="K14">
        <v>40.07</v>
      </c>
      <c r="L14" t="s">
        <v>640</v>
      </c>
    </row>
    <row r="15" spans="1:12" x14ac:dyDescent="0.25">
      <c r="A15" t="s">
        <v>127</v>
      </c>
      <c r="B15" t="s">
        <v>140</v>
      </c>
      <c r="C15" t="s">
        <v>619</v>
      </c>
      <c r="D15" t="s">
        <v>620</v>
      </c>
      <c r="E15" t="s">
        <v>174</v>
      </c>
      <c r="F15">
        <v>37.046999999999898</v>
      </c>
      <c r="G15" t="s">
        <v>17</v>
      </c>
      <c r="J15">
        <v>1.49</v>
      </c>
      <c r="K15">
        <v>55.2</v>
      </c>
      <c r="L15" t="s">
        <v>641</v>
      </c>
    </row>
    <row r="16" spans="1:12" x14ac:dyDescent="0.25">
      <c r="A16" t="s">
        <v>180</v>
      </c>
      <c r="B16" t="s">
        <v>123</v>
      </c>
      <c r="C16" t="s">
        <v>642</v>
      </c>
      <c r="D16" t="s">
        <v>643</v>
      </c>
      <c r="E16" t="s">
        <v>65</v>
      </c>
      <c r="F16">
        <v>42.637999999999899</v>
      </c>
      <c r="G16" t="s">
        <v>17</v>
      </c>
      <c r="J16">
        <v>1.27</v>
      </c>
      <c r="K16">
        <v>54.15</v>
      </c>
      <c r="L16" t="s">
        <v>644</v>
      </c>
    </row>
    <row r="17" spans="1:12" x14ac:dyDescent="0.25">
      <c r="A17" t="s">
        <v>186</v>
      </c>
      <c r="B17" t="s">
        <v>365</v>
      </c>
      <c r="C17" t="s">
        <v>622</v>
      </c>
      <c r="D17" t="s">
        <v>623</v>
      </c>
      <c r="E17" t="s">
        <v>65</v>
      </c>
      <c r="F17">
        <v>32.661000000000001</v>
      </c>
      <c r="G17" t="s">
        <v>17</v>
      </c>
      <c r="J17">
        <v>1.27</v>
      </c>
      <c r="K17">
        <v>41.48</v>
      </c>
      <c r="L17" t="s">
        <v>645</v>
      </c>
    </row>
    <row r="18" spans="1:12" x14ac:dyDescent="0.25">
      <c r="A18" t="s">
        <v>41</v>
      </c>
      <c r="B18" t="s">
        <v>146</v>
      </c>
      <c r="C18" t="s">
        <v>616</v>
      </c>
      <c r="D18" t="s">
        <v>617</v>
      </c>
      <c r="E18" t="s">
        <v>174</v>
      </c>
      <c r="F18">
        <v>35</v>
      </c>
      <c r="G18" t="s">
        <v>17</v>
      </c>
      <c r="J18">
        <v>1.51</v>
      </c>
      <c r="K18">
        <v>52.85</v>
      </c>
      <c r="L18" t="s">
        <v>646</v>
      </c>
    </row>
    <row r="19" spans="1:12" x14ac:dyDescent="0.25">
      <c r="F19" s="1">
        <f>SUM(F2:F18)</f>
        <v>524.8139999999994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L26"/>
  <sheetViews>
    <sheetView workbookViewId="0">
      <selection activeCell="F26" sqref="F26"/>
    </sheetView>
  </sheetViews>
  <sheetFormatPr defaultRowHeight="15" x14ac:dyDescent="0.25"/>
  <cols>
    <col min="1" max="1" width="10.42578125" bestFit="1" customWidth="1"/>
    <col min="2" max="2" width="32.85546875" bestFit="1" customWidth="1"/>
    <col min="3" max="3" width="9.710937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195</v>
      </c>
      <c r="B2" t="s">
        <v>123</v>
      </c>
      <c r="C2" t="s">
        <v>647</v>
      </c>
      <c r="D2" t="s">
        <v>648</v>
      </c>
      <c r="E2" t="s">
        <v>16</v>
      </c>
      <c r="F2">
        <v>38.869</v>
      </c>
      <c r="G2" t="s">
        <v>17</v>
      </c>
      <c r="J2">
        <v>1.3</v>
      </c>
      <c r="K2">
        <v>50.53</v>
      </c>
      <c r="L2" t="s">
        <v>649</v>
      </c>
    </row>
    <row r="3" spans="1:12" x14ac:dyDescent="0.25">
      <c r="A3" t="s">
        <v>51</v>
      </c>
      <c r="B3" t="s">
        <v>140</v>
      </c>
      <c r="C3" t="s">
        <v>650</v>
      </c>
      <c r="D3" t="s">
        <v>651</v>
      </c>
      <c r="E3" t="s">
        <v>636</v>
      </c>
      <c r="F3">
        <v>48.137999999999899</v>
      </c>
      <c r="G3" t="s">
        <v>17</v>
      </c>
      <c r="J3">
        <v>0.57999999999999996</v>
      </c>
      <c r="K3">
        <v>27.92</v>
      </c>
      <c r="L3" t="s">
        <v>444</v>
      </c>
    </row>
    <row r="4" spans="1:12" x14ac:dyDescent="0.25">
      <c r="A4" t="s">
        <v>61</v>
      </c>
      <c r="B4" t="s">
        <v>123</v>
      </c>
      <c r="C4" t="s">
        <v>650</v>
      </c>
      <c r="D4" t="s">
        <v>651</v>
      </c>
      <c r="E4" t="s">
        <v>65</v>
      </c>
      <c r="F4">
        <v>32.929000000000002</v>
      </c>
      <c r="G4" t="s">
        <v>17</v>
      </c>
      <c r="J4">
        <v>1.27</v>
      </c>
      <c r="K4">
        <v>41.82</v>
      </c>
      <c r="L4" t="s">
        <v>652</v>
      </c>
    </row>
    <row r="5" spans="1:12" x14ac:dyDescent="0.25">
      <c r="A5" t="s">
        <v>61</v>
      </c>
      <c r="B5" t="s">
        <v>123</v>
      </c>
      <c r="C5" t="s">
        <v>650</v>
      </c>
      <c r="D5" t="s">
        <v>651</v>
      </c>
      <c r="E5" t="s">
        <v>636</v>
      </c>
      <c r="F5">
        <v>52.237000000000002</v>
      </c>
      <c r="G5" t="s">
        <v>17</v>
      </c>
      <c r="J5">
        <v>0.59</v>
      </c>
      <c r="K5">
        <v>30.82</v>
      </c>
      <c r="L5" t="s">
        <v>652</v>
      </c>
    </row>
    <row r="6" spans="1:12" x14ac:dyDescent="0.25">
      <c r="A6" t="s">
        <v>76</v>
      </c>
      <c r="B6" t="s">
        <v>123</v>
      </c>
      <c r="C6" t="s">
        <v>650</v>
      </c>
      <c r="D6" t="s">
        <v>651</v>
      </c>
      <c r="E6" t="s">
        <v>636</v>
      </c>
      <c r="F6">
        <v>47.356000000000002</v>
      </c>
      <c r="G6" t="s">
        <v>17</v>
      </c>
      <c r="J6">
        <v>0.59</v>
      </c>
      <c r="K6">
        <v>27.94</v>
      </c>
      <c r="L6" t="s">
        <v>653</v>
      </c>
    </row>
    <row r="7" spans="1:12" x14ac:dyDescent="0.25">
      <c r="A7" t="s">
        <v>24</v>
      </c>
      <c r="B7" t="s">
        <v>123</v>
      </c>
      <c r="C7" t="s">
        <v>654</v>
      </c>
      <c r="D7" t="s">
        <v>655</v>
      </c>
      <c r="E7" t="s">
        <v>16</v>
      </c>
      <c r="F7">
        <v>43.607999999999898</v>
      </c>
      <c r="G7" t="s">
        <v>17</v>
      </c>
      <c r="J7">
        <v>1.3</v>
      </c>
      <c r="K7">
        <v>56.69</v>
      </c>
      <c r="L7" t="s">
        <v>656</v>
      </c>
    </row>
    <row r="8" spans="1:12" x14ac:dyDescent="0.25">
      <c r="A8" t="s">
        <v>24</v>
      </c>
      <c r="B8" t="s">
        <v>146</v>
      </c>
      <c r="C8" t="s">
        <v>657</v>
      </c>
      <c r="D8" t="s">
        <v>658</v>
      </c>
      <c r="E8" t="s">
        <v>65</v>
      </c>
      <c r="F8">
        <v>46</v>
      </c>
      <c r="G8" t="s">
        <v>17</v>
      </c>
      <c r="J8">
        <v>1.27</v>
      </c>
      <c r="K8">
        <v>58.42</v>
      </c>
      <c r="L8" t="s">
        <v>48</v>
      </c>
    </row>
    <row r="9" spans="1:12" x14ac:dyDescent="0.25">
      <c r="A9" t="s">
        <v>24</v>
      </c>
      <c r="B9" t="s">
        <v>146</v>
      </c>
      <c r="C9" t="s">
        <v>657</v>
      </c>
      <c r="D9" t="s">
        <v>658</v>
      </c>
      <c r="E9" t="s">
        <v>636</v>
      </c>
      <c r="F9">
        <v>44.878999999999898</v>
      </c>
      <c r="G9" t="s">
        <v>17</v>
      </c>
      <c r="J9">
        <v>0.57999999999999996</v>
      </c>
      <c r="K9">
        <v>26.03</v>
      </c>
      <c r="L9" t="s">
        <v>126</v>
      </c>
    </row>
    <row r="10" spans="1:12" x14ac:dyDescent="0.25">
      <c r="A10" t="s">
        <v>28</v>
      </c>
      <c r="B10" t="s">
        <v>123</v>
      </c>
      <c r="C10" t="s">
        <v>659</v>
      </c>
      <c r="D10" t="s">
        <v>660</v>
      </c>
      <c r="E10" t="s">
        <v>16</v>
      </c>
      <c r="F10">
        <v>39.731000000000002</v>
      </c>
      <c r="G10" t="s">
        <v>17</v>
      </c>
      <c r="J10">
        <v>1.3</v>
      </c>
      <c r="K10">
        <v>51.65</v>
      </c>
      <c r="L10" t="s">
        <v>661</v>
      </c>
    </row>
    <row r="11" spans="1:12" x14ac:dyDescent="0.25">
      <c r="A11" t="s">
        <v>28</v>
      </c>
      <c r="B11" t="s">
        <v>123</v>
      </c>
      <c r="C11" t="s">
        <v>650</v>
      </c>
      <c r="D11" t="s">
        <v>651</v>
      </c>
      <c r="E11" t="s">
        <v>636</v>
      </c>
      <c r="F11">
        <v>38.982999999999898</v>
      </c>
      <c r="G11" t="s">
        <v>17</v>
      </c>
      <c r="J11">
        <v>0.59</v>
      </c>
      <c r="K11">
        <v>23</v>
      </c>
      <c r="L11" t="s">
        <v>662</v>
      </c>
    </row>
    <row r="12" spans="1:12" x14ac:dyDescent="0.25">
      <c r="A12" t="s">
        <v>85</v>
      </c>
      <c r="B12" t="s">
        <v>123</v>
      </c>
      <c r="C12" t="s">
        <v>650</v>
      </c>
      <c r="D12" t="s">
        <v>651</v>
      </c>
      <c r="E12" t="s">
        <v>636</v>
      </c>
      <c r="F12">
        <v>40.441000000000003</v>
      </c>
      <c r="G12" t="s">
        <v>17</v>
      </c>
      <c r="J12">
        <v>0.59</v>
      </c>
      <c r="K12">
        <v>23.86</v>
      </c>
      <c r="L12" t="s">
        <v>110</v>
      </c>
    </row>
    <row r="13" spans="1:12" x14ac:dyDescent="0.25">
      <c r="A13" t="s">
        <v>118</v>
      </c>
      <c r="B13" t="s">
        <v>146</v>
      </c>
      <c r="C13" t="s">
        <v>657</v>
      </c>
      <c r="D13" t="s">
        <v>658</v>
      </c>
      <c r="E13" t="s">
        <v>636</v>
      </c>
      <c r="F13">
        <v>32.328000000000003</v>
      </c>
      <c r="G13" t="s">
        <v>17</v>
      </c>
      <c r="J13">
        <v>0.57999999999999996</v>
      </c>
      <c r="K13">
        <v>18.75</v>
      </c>
      <c r="L13" t="s">
        <v>410</v>
      </c>
    </row>
    <row r="14" spans="1:12" x14ac:dyDescent="0.25">
      <c r="A14" t="s">
        <v>127</v>
      </c>
      <c r="B14" t="s">
        <v>123</v>
      </c>
      <c r="C14" t="s">
        <v>650</v>
      </c>
      <c r="D14" t="s">
        <v>651</v>
      </c>
      <c r="E14" t="s">
        <v>636</v>
      </c>
      <c r="F14">
        <v>51.712000000000003</v>
      </c>
      <c r="G14" t="s">
        <v>17</v>
      </c>
      <c r="J14">
        <v>0.59</v>
      </c>
      <c r="K14">
        <v>30.51</v>
      </c>
      <c r="L14" t="s">
        <v>663</v>
      </c>
    </row>
    <row r="15" spans="1:12" x14ac:dyDescent="0.25">
      <c r="A15" t="s">
        <v>38</v>
      </c>
      <c r="B15" t="s">
        <v>365</v>
      </c>
      <c r="C15" t="s">
        <v>659</v>
      </c>
      <c r="D15" t="s">
        <v>660</v>
      </c>
      <c r="E15" t="s">
        <v>16</v>
      </c>
      <c r="F15">
        <v>42.308</v>
      </c>
      <c r="G15" t="s">
        <v>17</v>
      </c>
      <c r="J15">
        <v>1.3</v>
      </c>
      <c r="K15">
        <v>55</v>
      </c>
      <c r="L15" t="s">
        <v>664</v>
      </c>
    </row>
    <row r="16" spans="1:12" x14ac:dyDescent="0.25">
      <c r="A16" t="s">
        <v>180</v>
      </c>
      <c r="B16" t="s">
        <v>123</v>
      </c>
      <c r="C16" t="s">
        <v>654</v>
      </c>
      <c r="D16" t="s">
        <v>655</v>
      </c>
      <c r="E16" t="s">
        <v>16</v>
      </c>
      <c r="F16">
        <v>42.908000000000001</v>
      </c>
      <c r="G16" t="s">
        <v>17</v>
      </c>
      <c r="J16">
        <v>1.3</v>
      </c>
      <c r="K16">
        <v>55.78</v>
      </c>
      <c r="L16" t="s">
        <v>665</v>
      </c>
    </row>
    <row r="17" spans="1:12" x14ac:dyDescent="0.25">
      <c r="A17" t="s">
        <v>101</v>
      </c>
      <c r="B17" t="s">
        <v>123</v>
      </c>
      <c r="C17" t="s">
        <v>647</v>
      </c>
      <c r="D17" t="s">
        <v>648</v>
      </c>
      <c r="E17" t="s">
        <v>16</v>
      </c>
      <c r="F17">
        <v>35.107999999999898</v>
      </c>
      <c r="G17" t="s">
        <v>17</v>
      </c>
      <c r="J17">
        <v>1.3</v>
      </c>
      <c r="K17">
        <v>45.64</v>
      </c>
      <c r="L17" t="s">
        <v>666</v>
      </c>
    </row>
    <row r="18" spans="1:12" x14ac:dyDescent="0.25">
      <c r="A18" t="s">
        <v>101</v>
      </c>
      <c r="B18" t="s">
        <v>123</v>
      </c>
      <c r="C18" t="s">
        <v>650</v>
      </c>
      <c r="D18" t="s">
        <v>651</v>
      </c>
      <c r="E18" t="s">
        <v>636</v>
      </c>
      <c r="F18">
        <v>42.168999999999897</v>
      </c>
      <c r="G18" t="s">
        <v>17</v>
      </c>
      <c r="J18">
        <v>0.59</v>
      </c>
      <c r="K18">
        <v>24.88</v>
      </c>
      <c r="L18" t="s">
        <v>667</v>
      </c>
    </row>
    <row r="19" spans="1:12" x14ac:dyDescent="0.25">
      <c r="A19" t="s">
        <v>101</v>
      </c>
      <c r="B19" t="s">
        <v>348</v>
      </c>
      <c r="C19" t="s">
        <v>657</v>
      </c>
      <c r="D19" t="s">
        <v>658</v>
      </c>
      <c r="E19" t="s">
        <v>636</v>
      </c>
      <c r="F19">
        <v>33.482999999999898</v>
      </c>
      <c r="G19" t="s">
        <v>17</v>
      </c>
      <c r="J19">
        <v>0.57999999999999996</v>
      </c>
      <c r="K19">
        <v>19.420000000000002</v>
      </c>
      <c r="L19" t="s">
        <v>538</v>
      </c>
    </row>
    <row r="20" spans="1:12" x14ac:dyDescent="0.25">
      <c r="A20" t="s">
        <v>41</v>
      </c>
      <c r="B20" t="s">
        <v>404</v>
      </c>
      <c r="C20" t="s">
        <v>657</v>
      </c>
      <c r="D20" t="s">
        <v>658</v>
      </c>
      <c r="E20" t="s">
        <v>636</v>
      </c>
      <c r="F20">
        <v>28.2929999999999</v>
      </c>
      <c r="G20" t="s">
        <v>17</v>
      </c>
      <c r="J20">
        <v>0.57999999999999996</v>
      </c>
      <c r="K20">
        <v>16.41</v>
      </c>
      <c r="L20" t="s">
        <v>586</v>
      </c>
    </row>
    <row r="21" spans="1:12" x14ac:dyDescent="0.25">
      <c r="A21" t="s">
        <v>41</v>
      </c>
      <c r="B21" t="s">
        <v>144</v>
      </c>
      <c r="C21" t="s">
        <v>657</v>
      </c>
      <c r="D21" t="s">
        <v>658</v>
      </c>
      <c r="E21" t="s">
        <v>636</v>
      </c>
      <c r="F21">
        <v>21.983000000000001</v>
      </c>
      <c r="G21" t="s">
        <v>17</v>
      </c>
      <c r="J21">
        <v>0.57999999999999996</v>
      </c>
      <c r="K21">
        <v>12.75</v>
      </c>
      <c r="L21" t="s">
        <v>668</v>
      </c>
    </row>
    <row r="22" spans="1:12" x14ac:dyDescent="0.25">
      <c r="A22" t="s">
        <v>43</v>
      </c>
      <c r="B22" t="s">
        <v>123</v>
      </c>
      <c r="C22" t="s">
        <v>650</v>
      </c>
      <c r="D22" t="s">
        <v>651</v>
      </c>
      <c r="E22" t="s">
        <v>636</v>
      </c>
      <c r="F22">
        <v>40.152999999999899</v>
      </c>
      <c r="G22" t="s">
        <v>17</v>
      </c>
      <c r="J22">
        <v>0.59</v>
      </c>
      <c r="K22">
        <v>23.69</v>
      </c>
      <c r="L22" t="s">
        <v>669</v>
      </c>
    </row>
    <row r="23" spans="1:12" x14ac:dyDescent="0.25">
      <c r="A23" t="s">
        <v>91</v>
      </c>
      <c r="B23" t="s">
        <v>670</v>
      </c>
      <c r="C23" t="s">
        <v>657</v>
      </c>
      <c r="D23" t="s">
        <v>658</v>
      </c>
      <c r="E23" t="s">
        <v>636</v>
      </c>
      <c r="F23">
        <v>37.466000000000001</v>
      </c>
      <c r="G23" t="s">
        <v>17</v>
      </c>
      <c r="J23">
        <v>0.57999999999999996</v>
      </c>
      <c r="K23">
        <v>21.73</v>
      </c>
      <c r="L23" t="s">
        <v>671</v>
      </c>
    </row>
    <row r="24" spans="1:12" x14ac:dyDescent="0.25">
      <c r="A24" t="s">
        <v>45</v>
      </c>
      <c r="B24" t="s">
        <v>123</v>
      </c>
      <c r="C24" t="s">
        <v>650</v>
      </c>
      <c r="D24" t="s">
        <v>651</v>
      </c>
      <c r="E24" t="s">
        <v>636</v>
      </c>
      <c r="F24">
        <v>40.881</v>
      </c>
      <c r="G24" t="s">
        <v>17</v>
      </c>
      <c r="J24">
        <v>0.59</v>
      </c>
      <c r="K24">
        <v>24.12</v>
      </c>
      <c r="L24" t="s">
        <v>672</v>
      </c>
    </row>
    <row r="25" spans="1:12" x14ac:dyDescent="0.25">
      <c r="A25" t="s">
        <v>45</v>
      </c>
      <c r="B25" t="s">
        <v>123</v>
      </c>
      <c r="C25" t="s">
        <v>650</v>
      </c>
      <c r="D25" t="s">
        <v>651</v>
      </c>
      <c r="E25" t="s">
        <v>174</v>
      </c>
      <c r="F25">
        <v>37.841999999999899</v>
      </c>
      <c r="G25" t="s">
        <v>17</v>
      </c>
      <c r="J25">
        <v>1.52</v>
      </c>
      <c r="K25">
        <v>57.52</v>
      </c>
      <c r="L25" t="s">
        <v>672</v>
      </c>
    </row>
    <row r="26" spans="1:12" x14ac:dyDescent="0.25">
      <c r="F26" s="1">
        <f>SUM(F2:F25)</f>
        <v>959.80499999999893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L71"/>
  <sheetViews>
    <sheetView topLeftCell="A52" workbookViewId="0">
      <selection activeCell="H53" sqref="H53"/>
    </sheetView>
  </sheetViews>
  <sheetFormatPr defaultRowHeight="15" x14ac:dyDescent="0.25"/>
  <cols>
    <col min="1" max="1" width="10.42578125" bestFit="1" customWidth="1"/>
    <col min="2" max="2" width="26.5703125" bestFit="1" customWidth="1"/>
    <col min="3" max="3" width="9" bestFit="1" customWidth="1"/>
    <col min="4" max="4" width="18.28515625" bestFit="1" customWidth="1"/>
    <col min="5" max="5" width="30.42578125" bestFit="1" customWidth="1"/>
    <col min="6" max="6" width="9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264</v>
      </c>
      <c r="B2" t="s">
        <v>673</v>
      </c>
      <c r="C2" t="s">
        <v>674</v>
      </c>
      <c r="D2" t="s">
        <v>675</v>
      </c>
      <c r="E2" t="s">
        <v>170</v>
      </c>
      <c r="F2">
        <v>66.102999999999895</v>
      </c>
      <c r="G2" t="s">
        <v>17</v>
      </c>
      <c r="J2">
        <v>1.55</v>
      </c>
      <c r="K2">
        <v>102.46</v>
      </c>
      <c r="L2" t="s">
        <v>676</v>
      </c>
    </row>
    <row r="3" spans="1:12" x14ac:dyDescent="0.25">
      <c r="A3" t="s">
        <v>264</v>
      </c>
      <c r="B3" t="s">
        <v>72</v>
      </c>
      <c r="C3" t="s">
        <v>677</v>
      </c>
      <c r="D3" t="s">
        <v>678</v>
      </c>
      <c r="E3" t="s">
        <v>16</v>
      </c>
      <c r="F3">
        <v>43</v>
      </c>
      <c r="G3" t="s">
        <v>17</v>
      </c>
      <c r="J3">
        <v>1.28</v>
      </c>
      <c r="K3">
        <v>55.04</v>
      </c>
      <c r="L3" t="s">
        <v>679</v>
      </c>
    </row>
    <row r="4" spans="1:12" x14ac:dyDescent="0.25">
      <c r="A4" t="s">
        <v>195</v>
      </c>
      <c r="B4" t="s">
        <v>680</v>
      </c>
      <c r="C4" t="s">
        <v>674</v>
      </c>
      <c r="D4" t="s">
        <v>675</v>
      </c>
      <c r="E4" t="s">
        <v>185</v>
      </c>
      <c r="F4">
        <v>1</v>
      </c>
      <c r="G4" t="s">
        <v>152</v>
      </c>
      <c r="J4">
        <v>7.92</v>
      </c>
      <c r="K4">
        <v>7.92</v>
      </c>
      <c r="L4" t="s">
        <v>640</v>
      </c>
    </row>
    <row r="5" spans="1:12" x14ac:dyDescent="0.25">
      <c r="A5" t="s">
        <v>51</v>
      </c>
      <c r="B5" t="s">
        <v>681</v>
      </c>
      <c r="C5" t="s">
        <v>682</v>
      </c>
      <c r="D5" t="s">
        <v>683</v>
      </c>
      <c r="E5" t="s">
        <v>16</v>
      </c>
      <c r="F5">
        <v>226</v>
      </c>
      <c r="G5" t="s">
        <v>17</v>
      </c>
      <c r="J5">
        <v>1.28</v>
      </c>
      <c r="K5">
        <v>289.27999999999997</v>
      </c>
      <c r="L5" t="s">
        <v>122</v>
      </c>
    </row>
    <row r="6" spans="1:12" x14ac:dyDescent="0.25">
      <c r="A6" t="s">
        <v>12</v>
      </c>
      <c r="B6" t="s">
        <v>68</v>
      </c>
      <c r="C6" t="s">
        <v>684</v>
      </c>
      <c r="D6" t="s">
        <v>685</v>
      </c>
      <c r="E6" t="s">
        <v>16</v>
      </c>
      <c r="F6">
        <v>55.101999999999897</v>
      </c>
      <c r="G6" t="s">
        <v>17</v>
      </c>
      <c r="J6">
        <v>1.28</v>
      </c>
      <c r="K6">
        <v>70.53</v>
      </c>
      <c r="L6" t="s">
        <v>686</v>
      </c>
    </row>
    <row r="7" spans="1:12" x14ac:dyDescent="0.25">
      <c r="A7" t="s">
        <v>12</v>
      </c>
      <c r="B7" t="s">
        <v>72</v>
      </c>
      <c r="C7" t="s">
        <v>687</v>
      </c>
      <c r="D7" t="s">
        <v>688</v>
      </c>
      <c r="E7" t="s">
        <v>16</v>
      </c>
      <c r="F7">
        <v>135.241999999999</v>
      </c>
      <c r="G7" t="s">
        <v>17</v>
      </c>
      <c r="J7">
        <v>1.28</v>
      </c>
      <c r="K7">
        <v>173.11</v>
      </c>
      <c r="L7" t="s">
        <v>689</v>
      </c>
    </row>
    <row r="8" spans="1:12" x14ac:dyDescent="0.25">
      <c r="A8" t="s">
        <v>12</v>
      </c>
      <c r="B8" t="s">
        <v>681</v>
      </c>
      <c r="C8" t="s">
        <v>690</v>
      </c>
      <c r="D8" t="s">
        <v>691</v>
      </c>
      <c r="E8" t="s">
        <v>16</v>
      </c>
      <c r="F8">
        <v>273.21100000000001</v>
      </c>
      <c r="G8" t="s">
        <v>17</v>
      </c>
      <c r="J8">
        <v>1.28</v>
      </c>
      <c r="K8">
        <v>349.71</v>
      </c>
      <c r="L8" t="s">
        <v>692</v>
      </c>
    </row>
    <row r="9" spans="1:12" x14ac:dyDescent="0.25">
      <c r="A9" t="s">
        <v>12</v>
      </c>
      <c r="B9" t="s">
        <v>681</v>
      </c>
      <c r="C9" t="s">
        <v>693</v>
      </c>
      <c r="D9" t="s">
        <v>694</v>
      </c>
      <c r="E9" t="s">
        <v>16</v>
      </c>
      <c r="F9">
        <v>270</v>
      </c>
      <c r="G9" t="s">
        <v>17</v>
      </c>
      <c r="J9">
        <v>1.28</v>
      </c>
      <c r="K9">
        <v>345.6</v>
      </c>
      <c r="L9" t="s">
        <v>202</v>
      </c>
    </row>
    <row r="10" spans="1:12" x14ac:dyDescent="0.25">
      <c r="A10" t="s">
        <v>19</v>
      </c>
      <c r="B10" t="s">
        <v>72</v>
      </c>
      <c r="C10" t="s">
        <v>677</v>
      </c>
      <c r="D10" t="s">
        <v>678</v>
      </c>
      <c r="E10" t="s">
        <v>16</v>
      </c>
      <c r="F10">
        <v>45</v>
      </c>
      <c r="G10" t="s">
        <v>17</v>
      </c>
      <c r="J10">
        <v>1.28</v>
      </c>
      <c r="K10">
        <v>57.6</v>
      </c>
      <c r="L10" t="s">
        <v>695</v>
      </c>
    </row>
    <row r="11" spans="1:12" x14ac:dyDescent="0.25">
      <c r="A11" t="s">
        <v>19</v>
      </c>
      <c r="B11" t="s">
        <v>696</v>
      </c>
      <c r="C11" t="s">
        <v>697</v>
      </c>
      <c r="D11" t="s">
        <v>698</v>
      </c>
      <c r="E11" t="s">
        <v>65</v>
      </c>
      <c r="F11">
        <v>31.128</v>
      </c>
      <c r="G11" t="s">
        <v>17</v>
      </c>
      <c r="J11">
        <v>1.25</v>
      </c>
      <c r="K11">
        <v>38.909999999999997</v>
      </c>
      <c r="L11" t="s">
        <v>546</v>
      </c>
    </row>
    <row r="12" spans="1:12" x14ac:dyDescent="0.25">
      <c r="A12" t="s">
        <v>61</v>
      </c>
      <c r="B12" t="s">
        <v>68</v>
      </c>
      <c r="C12" t="s">
        <v>699</v>
      </c>
      <c r="D12" t="s">
        <v>700</v>
      </c>
      <c r="E12" t="s">
        <v>16</v>
      </c>
      <c r="F12">
        <v>55.203000000000003</v>
      </c>
      <c r="G12" t="s">
        <v>17</v>
      </c>
      <c r="J12">
        <v>1.28</v>
      </c>
      <c r="K12">
        <v>70.66</v>
      </c>
      <c r="L12" t="s">
        <v>692</v>
      </c>
    </row>
    <row r="13" spans="1:12" x14ac:dyDescent="0.25">
      <c r="A13" t="s">
        <v>61</v>
      </c>
      <c r="B13" t="s">
        <v>52</v>
      </c>
      <c r="C13" t="s">
        <v>674</v>
      </c>
      <c r="D13" t="s">
        <v>675</v>
      </c>
      <c r="E13" t="s">
        <v>65</v>
      </c>
      <c r="F13">
        <v>43.744</v>
      </c>
      <c r="G13" t="s">
        <v>17</v>
      </c>
      <c r="J13">
        <v>1.25</v>
      </c>
      <c r="K13">
        <v>54.68</v>
      </c>
      <c r="L13" t="s">
        <v>701</v>
      </c>
    </row>
    <row r="14" spans="1:12" x14ac:dyDescent="0.25">
      <c r="A14" t="s">
        <v>106</v>
      </c>
      <c r="B14" t="s">
        <v>425</v>
      </c>
      <c r="C14" t="s">
        <v>702</v>
      </c>
      <c r="D14" t="s">
        <v>703</v>
      </c>
      <c r="E14" t="s">
        <v>170</v>
      </c>
      <c r="F14">
        <v>16.4469999999999</v>
      </c>
      <c r="G14" t="s">
        <v>17</v>
      </c>
      <c r="J14">
        <v>1.52</v>
      </c>
      <c r="K14">
        <v>25</v>
      </c>
      <c r="L14" t="s">
        <v>704</v>
      </c>
    </row>
    <row r="15" spans="1:12" x14ac:dyDescent="0.25">
      <c r="A15" t="s">
        <v>106</v>
      </c>
      <c r="B15" t="s">
        <v>68</v>
      </c>
      <c r="C15" t="s">
        <v>684</v>
      </c>
      <c r="D15" t="s">
        <v>685</v>
      </c>
      <c r="E15" t="s">
        <v>16</v>
      </c>
      <c r="F15">
        <v>15.82</v>
      </c>
      <c r="G15" t="s">
        <v>17</v>
      </c>
      <c r="J15">
        <v>1.28</v>
      </c>
      <c r="K15">
        <v>20.25</v>
      </c>
      <c r="L15" t="s">
        <v>705</v>
      </c>
    </row>
    <row r="16" spans="1:12" x14ac:dyDescent="0.25">
      <c r="A16" t="s">
        <v>106</v>
      </c>
      <c r="B16" t="s">
        <v>404</v>
      </c>
      <c r="C16" t="s">
        <v>702</v>
      </c>
      <c r="D16" t="s">
        <v>703</v>
      </c>
      <c r="E16" t="s">
        <v>170</v>
      </c>
      <c r="F16">
        <v>50.189999999999898</v>
      </c>
      <c r="G16" t="s">
        <v>17</v>
      </c>
      <c r="J16">
        <v>1.53</v>
      </c>
      <c r="K16">
        <v>76.790000000000006</v>
      </c>
      <c r="L16" t="s">
        <v>706</v>
      </c>
    </row>
    <row r="17" spans="1:12" x14ac:dyDescent="0.25">
      <c r="A17" t="s">
        <v>106</v>
      </c>
      <c r="B17" t="s">
        <v>348</v>
      </c>
      <c r="C17" t="s">
        <v>702</v>
      </c>
      <c r="D17" t="s">
        <v>703</v>
      </c>
      <c r="E17" t="s">
        <v>170</v>
      </c>
      <c r="F17">
        <v>22.791</v>
      </c>
      <c r="G17" t="s">
        <v>17</v>
      </c>
      <c r="J17">
        <v>1.53</v>
      </c>
      <c r="K17">
        <v>34.869999999999997</v>
      </c>
      <c r="L17" t="s">
        <v>286</v>
      </c>
    </row>
    <row r="18" spans="1:12" x14ac:dyDescent="0.25">
      <c r="A18" t="s">
        <v>76</v>
      </c>
      <c r="B18" t="s">
        <v>68</v>
      </c>
      <c r="C18" t="s">
        <v>707</v>
      </c>
      <c r="D18" t="s">
        <v>708</v>
      </c>
      <c r="E18" t="s">
        <v>16</v>
      </c>
      <c r="F18">
        <v>32.140999999999899</v>
      </c>
      <c r="G18" t="s">
        <v>17</v>
      </c>
      <c r="J18">
        <v>1.28</v>
      </c>
      <c r="K18">
        <v>41.14</v>
      </c>
      <c r="L18" t="s">
        <v>709</v>
      </c>
    </row>
    <row r="19" spans="1:12" x14ac:dyDescent="0.25">
      <c r="A19" t="s">
        <v>76</v>
      </c>
      <c r="B19" t="s">
        <v>72</v>
      </c>
      <c r="C19" t="s">
        <v>710</v>
      </c>
      <c r="D19" t="s">
        <v>711</v>
      </c>
      <c r="E19" t="s">
        <v>16</v>
      </c>
      <c r="F19">
        <v>100</v>
      </c>
      <c r="G19" t="s">
        <v>17</v>
      </c>
      <c r="J19">
        <v>1.28</v>
      </c>
      <c r="K19">
        <v>128</v>
      </c>
      <c r="L19" t="s">
        <v>712</v>
      </c>
    </row>
    <row r="20" spans="1:12" x14ac:dyDescent="0.25">
      <c r="A20" t="s">
        <v>76</v>
      </c>
      <c r="B20" t="s">
        <v>72</v>
      </c>
      <c r="C20" t="s">
        <v>710</v>
      </c>
      <c r="D20" t="s">
        <v>711</v>
      </c>
      <c r="E20" t="s">
        <v>16</v>
      </c>
      <c r="F20">
        <v>300</v>
      </c>
      <c r="G20" t="s">
        <v>17</v>
      </c>
      <c r="J20">
        <v>1.28</v>
      </c>
      <c r="K20">
        <v>384</v>
      </c>
      <c r="L20" t="s">
        <v>713</v>
      </c>
    </row>
    <row r="21" spans="1:12" x14ac:dyDescent="0.25">
      <c r="A21" t="s">
        <v>76</v>
      </c>
      <c r="B21" t="s">
        <v>72</v>
      </c>
      <c r="C21" t="s">
        <v>714</v>
      </c>
      <c r="D21" t="s">
        <v>715</v>
      </c>
      <c r="E21" t="s">
        <v>16</v>
      </c>
      <c r="F21">
        <v>65.063000000000002</v>
      </c>
      <c r="G21" t="s">
        <v>17</v>
      </c>
      <c r="J21">
        <v>1.28</v>
      </c>
      <c r="K21">
        <v>83.28</v>
      </c>
      <c r="L21" t="s">
        <v>646</v>
      </c>
    </row>
    <row r="22" spans="1:12" x14ac:dyDescent="0.25">
      <c r="A22" t="s">
        <v>76</v>
      </c>
      <c r="B22" t="s">
        <v>72</v>
      </c>
      <c r="C22" t="s">
        <v>716</v>
      </c>
      <c r="D22" t="s">
        <v>717</v>
      </c>
      <c r="E22" t="s">
        <v>16</v>
      </c>
      <c r="F22">
        <v>84</v>
      </c>
      <c r="G22" t="s">
        <v>17</v>
      </c>
      <c r="J22">
        <v>1.28</v>
      </c>
      <c r="K22">
        <v>107.52</v>
      </c>
      <c r="L22" t="s">
        <v>718</v>
      </c>
    </row>
    <row r="23" spans="1:12" x14ac:dyDescent="0.25">
      <c r="A23" t="s">
        <v>76</v>
      </c>
      <c r="B23" t="s">
        <v>72</v>
      </c>
      <c r="C23" t="s">
        <v>677</v>
      </c>
      <c r="D23" t="s">
        <v>678</v>
      </c>
      <c r="E23" t="s">
        <v>16</v>
      </c>
      <c r="F23">
        <v>46</v>
      </c>
      <c r="G23" t="s">
        <v>17</v>
      </c>
      <c r="J23">
        <v>1.28</v>
      </c>
      <c r="K23">
        <v>58.88</v>
      </c>
      <c r="L23" t="s">
        <v>719</v>
      </c>
    </row>
    <row r="24" spans="1:12" x14ac:dyDescent="0.25">
      <c r="A24" t="s">
        <v>76</v>
      </c>
      <c r="B24" t="s">
        <v>681</v>
      </c>
      <c r="C24" t="s">
        <v>682</v>
      </c>
      <c r="D24" t="s">
        <v>683</v>
      </c>
      <c r="E24" t="s">
        <v>16</v>
      </c>
      <c r="F24">
        <v>222</v>
      </c>
      <c r="G24" t="s">
        <v>17</v>
      </c>
      <c r="J24">
        <v>1.28</v>
      </c>
      <c r="K24">
        <v>284.16000000000003</v>
      </c>
      <c r="L24" t="s">
        <v>720</v>
      </c>
    </row>
    <row r="25" spans="1:12" x14ac:dyDescent="0.25">
      <c r="A25" t="s">
        <v>24</v>
      </c>
      <c r="B25" t="s">
        <v>72</v>
      </c>
      <c r="C25" t="s">
        <v>710</v>
      </c>
      <c r="D25" t="s">
        <v>711</v>
      </c>
      <c r="E25" t="s">
        <v>16</v>
      </c>
      <c r="F25">
        <v>50</v>
      </c>
      <c r="G25" t="s">
        <v>17</v>
      </c>
      <c r="J25">
        <v>1.28</v>
      </c>
      <c r="K25">
        <v>64</v>
      </c>
      <c r="L25" t="s">
        <v>533</v>
      </c>
    </row>
    <row r="26" spans="1:12" x14ac:dyDescent="0.25">
      <c r="A26" t="s">
        <v>24</v>
      </c>
      <c r="B26" t="s">
        <v>72</v>
      </c>
      <c r="C26" t="s">
        <v>710</v>
      </c>
      <c r="D26" t="s">
        <v>711</v>
      </c>
      <c r="E26" t="s">
        <v>16</v>
      </c>
      <c r="F26">
        <v>100</v>
      </c>
      <c r="G26" t="s">
        <v>17</v>
      </c>
      <c r="J26">
        <v>1.28</v>
      </c>
      <c r="K26">
        <v>128</v>
      </c>
      <c r="L26" t="s">
        <v>721</v>
      </c>
    </row>
    <row r="27" spans="1:12" x14ac:dyDescent="0.25">
      <c r="A27" t="s">
        <v>24</v>
      </c>
      <c r="B27" t="s">
        <v>72</v>
      </c>
      <c r="C27" t="s">
        <v>710</v>
      </c>
      <c r="D27" t="s">
        <v>711</v>
      </c>
      <c r="E27" t="s">
        <v>16</v>
      </c>
      <c r="F27">
        <v>20</v>
      </c>
      <c r="G27" t="s">
        <v>17</v>
      </c>
      <c r="J27">
        <v>1.28</v>
      </c>
      <c r="K27">
        <v>25.6</v>
      </c>
      <c r="L27" t="s">
        <v>722</v>
      </c>
    </row>
    <row r="28" spans="1:12" x14ac:dyDescent="0.25">
      <c r="A28" t="s">
        <v>24</v>
      </c>
      <c r="B28" t="s">
        <v>72</v>
      </c>
      <c r="C28" t="s">
        <v>710</v>
      </c>
      <c r="D28" t="s">
        <v>711</v>
      </c>
      <c r="E28" t="s">
        <v>16</v>
      </c>
      <c r="F28">
        <v>300</v>
      </c>
      <c r="G28" t="s">
        <v>17</v>
      </c>
      <c r="J28">
        <v>1.28</v>
      </c>
      <c r="K28">
        <v>384</v>
      </c>
      <c r="L28" t="s">
        <v>713</v>
      </c>
    </row>
    <row r="29" spans="1:12" x14ac:dyDescent="0.25">
      <c r="A29" t="s">
        <v>24</v>
      </c>
      <c r="B29" t="s">
        <v>72</v>
      </c>
      <c r="C29" t="s">
        <v>723</v>
      </c>
      <c r="D29" t="s">
        <v>724</v>
      </c>
      <c r="E29" t="s">
        <v>16</v>
      </c>
      <c r="F29">
        <v>375</v>
      </c>
      <c r="G29" t="s">
        <v>17</v>
      </c>
      <c r="J29">
        <v>1.28</v>
      </c>
      <c r="K29">
        <v>480</v>
      </c>
      <c r="L29" t="s">
        <v>725</v>
      </c>
    </row>
    <row r="30" spans="1:12" x14ac:dyDescent="0.25">
      <c r="A30" t="s">
        <v>24</v>
      </c>
      <c r="B30" t="s">
        <v>681</v>
      </c>
      <c r="C30" t="s">
        <v>690</v>
      </c>
      <c r="D30" t="s">
        <v>691</v>
      </c>
      <c r="E30" t="s">
        <v>16</v>
      </c>
      <c r="F30">
        <v>273.00799999999902</v>
      </c>
      <c r="G30" t="s">
        <v>17</v>
      </c>
      <c r="J30">
        <v>1.28</v>
      </c>
      <c r="K30">
        <v>349.45</v>
      </c>
      <c r="L30" t="s">
        <v>468</v>
      </c>
    </row>
    <row r="31" spans="1:12" x14ac:dyDescent="0.25">
      <c r="A31" t="s">
        <v>24</v>
      </c>
      <c r="B31" t="s">
        <v>681</v>
      </c>
      <c r="C31" t="s">
        <v>693</v>
      </c>
      <c r="D31" t="s">
        <v>694</v>
      </c>
      <c r="E31" t="s">
        <v>16</v>
      </c>
      <c r="F31">
        <v>270</v>
      </c>
      <c r="G31" t="s">
        <v>17</v>
      </c>
      <c r="J31">
        <v>1.28</v>
      </c>
      <c r="K31">
        <v>345.6</v>
      </c>
      <c r="L31" t="s">
        <v>538</v>
      </c>
    </row>
    <row r="32" spans="1:12" x14ac:dyDescent="0.25">
      <c r="A32" t="s">
        <v>28</v>
      </c>
      <c r="B32" t="s">
        <v>72</v>
      </c>
      <c r="C32" t="s">
        <v>726</v>
      </c>
      <c r="D32" t="s">
        <v>727</v>
      </c>
      <c r="E32" t="s">
        <v>16</v>
      </c>
      <c r="F32">
        <v>173.00800000000001</v>
      </c>
      <c r="G32" t="s">
        <v>17</v>
      </c>
      <c r="J32">
        <v>1.28</v>
      </c>
      <c r="K32">
        <v>221.45</v>
      </c>
      <c r="L32" t="s">
        <v>335</v>
      </c>
    </row>
    <row r="33" spans="1:12" x14ac:dyDescent="0.25">
      <c r="A33" t="s">
        <v>28</v>
      </c>
      <c r="B33" t="s">
        <v>72</v>
      </c>
      <c r="C33" t="s">
        <v>710</v>
      </c>
      <c r="D33" t="s">
        <v>711</v>
      </c>
      <c r="E33" t="s">
        <v>16</v>
      </c>
      <c r="F33">
        <v>100</v>
      </c>
      <c r="G33" t="s">
        <v>17</v>
      </c>
      <c r="J33">
        <v>1.28</v>
      </c>
      <c r="K33">
        <v>128</v>
      </c>
      <c r="L33" t="s">
        <v>441</v>
      </c>
    </row>
    <row r="34" spans="1:12" x14ac:dyDescent="0.25">
      <c r="A34" t="s">
        <v>28</v>
      </c>
      <c r="B34" t="s">
        <v>99</v>
      </c>
      <c r="C34" t="s">
        <v>682</v>
      </c>
      <c r="D34" t="s">
        <v>683</v>
      </c>
      <c r="E34" t="s">
        <v>16</v>
      </c>
      <c r="F34">
        <v>222.015999999999</v>
      </c>
      <c r="G34" t="s">
        <v>17</v>
      </c>
      <c r="J34">
        <v>1.28</v>
      </c>
      <c r="K34">
        <v>284.18</v>
      </c>
      <c r="L34" t="s">
        <v>662</v>
      </c>
    </row>
    <row r="35" spans="1:12" x14ac:dyDescent="0.25">
      <c r="A35" t="s">
        <v>32</v>
      </c>
      <c r="B35" t="s">
        <v>425</v>
      </c>
      <c r="C35" t="s">
        <v>702</v>
      </c>
      <c r="D35" t="s">
        <v>703</v>
      </c>
      <c r="E35" t="s">
        <v>174</v>
      </c>
      <c r="F35">
        <v>26.689</v>
      </c>
      <c r="G35" t="s">
        <v>17</v>
      </c>
      <c r="J35">
        <v>1.48</v>
      </c>
      <c r="K35">
        <v>39.5</v>
      </c>
      <c r="L35" t="s">
        <v>728</v>
      </c>
    </row>
    <row r="36" spans="1:12" x14ac:dyDescent="0.25">
      <c r="A36" t="s">
        <v>32</v>
      </c>
      <c r="B36" t="s">
        <v>72</v>
      </c>
      <c r="C36" t="s">
        <v>710</v>
      </c>
      <c r="D36" t="s">
        <v>711</v>
      </c>
      <c r="E36" t="s">
        <v>16</v>
      </c>
      <c r="F36">
        <v>300</v>
      </c>
      <c r="G36" t="s">
        <v>17</v>
      </c>
      <c r="J36">
        <v>1.28</v>
      </c>
      <c r="K36">
        <v>384</v>
      </c>
      <c r="L36" t="s">
        <v>729</v>
      </c>
    </row>
    <row r="37" spans="1:12" x14ac:dyDescent="0.25">
      <c r="A37" t="s">
        <v>32</v>
      </c>
      <c r="B37" t="s">
        <v>348</v>
      </c>
      <c r="C37" t="s">
        <v>702</v>
      </c>
      <c r="D37" t="s">
        <v>703</v>
      </c>
      <c r="E37" t="s">
        <v>174</v>
      </c>
      <c r="F37">
        <v>28.57</v>
      </c>
      <c r="G37" t="s">
        <v>17</v>
      </c>
      <c r="J37">
        <v>1.49</v>
      </c>
      <c r="K37">
        <v>42.57</v>
      </c>
      <c r="L37" t="s">
        <v>730</v>
      </c>
    </row>
    <row r="38" spans="1:12" x14ac:dyDescent="0.25">
      <c r="A38" t="s">
        <v>32</v>
      </c>
      <c r="B38" t="s">
        <v>696</v>
      </c>
      <c r="C38" t="s">
        <v>697</v>
      </c>
      <c r="D38" t="s">
        <v>698</v>
      </c>
      <c r="E38" t="s">
        <v>65</v>
      </c>
      <c r="F38">
        <v>37.488</v>
      </c>
      <c r="G38" t="s">
        <v>17</v>
      </c>
      <c r="J38">
        <v>1.25</v>
      </c>
      <c r="K38">
        <v>46.86</v>
      </c>
      <c r="L38" t="s">
        <v>135</v>
      </c>
    </row>
    <row r="39" spans="1:12" x14ac:dyDescent="0.25">
      <c r="A39" t="s">
        <v>241</v>
      </c>
      <c r="B39" t="s">
        <v>68</v>
      </c>
      <c r="C39" t="s">
        <v>674</v>
      </c>
      <c r="D39" t="s">
        <v>675</v>
      </c>
      <c r="E39" t="s">
        <v>16</v>
      </c>
      <c r="F39">
        <v>20</v>
      </c>
      <c r="G39" t="s">
        <v>17</v>
      </c>
      <c r="J39">
        <v>1.28</v>
      </c>
      <c r="K39">
        <v>25.6</v>
      </c>
      <c r="L39" t="s">
        <v>731</v>
      </c>
    </row>
    <row r="40" spans="1:12" x14ac:dyDescent="0.25">
      <c r="A40" t="s">
        <v>85</v>
      </c>
      <c r="B40" t="s">
        <v>72</v>
      </c>
      <c r="C40" t="s">
        <v>710</v>
      </c>
      <c r="D40" t="s">
        <v>711</v>
      </c>
      <c r="E40" t="s">
        <v>16</v>
      </c>
      <c r="F40">
        <v>150</v>
      </c>
      <c r="G40" t="s">
        <v>17</v>
      </c>
      <c r="J40">
        <v>1.28</v>
      </c>
      <c r="K40">
        <v>192</v>
      </c>
      <c r="L40" t="s">
        <v>732</v>
      </c>
    </row>
    <row r="41" spans="1:12" x14ac:dyDescent="0.25">
      <c r="A41" t="s">
        <v>85</v>
      </c>
      <c r="B41" t="s">
        <v>72</v>
      </c>
      <c r="C41" t="s">
        <v>733</v>
      </c>
      <c r="D41" t="s">
        <v>734</v>
      </c>
      <c r="E41" t="s">
        <v>16</v>
      </c>
      <c r="F41">
        <v>58.671999999999898</v>
      </c>
      <c r="G41" t="s">
        <v>17</v>
      </c>
      <c r="J41">
        <v>1.28</v>
      </c>
      <c r="K41">
        <v>75.099999999999994</v>
      </c>
      <c r="L41" t="s">
        <v>428</v>
      </c>
    </row>
    <row r="42" spans="1:12" x14ac:dyDescent="0.25">
      <c r="A42" t="s">
        <v>85</v>
      </c>
      <c r="B42" t="s">
        <v>99</v>
      </c>
      <c r="C42" t="s">
        <v>735</v>
      </c>
      <c r="D42" t="s">
        <v>736</v>
      </c>
      <c r="E42" t="s">
        <v>16</v>
      </c>
      <c r="F42">
        <v>68</v>
      </c>
      <c r="G42" t="s">
        <v>17</v>
      </c>
      <c r="J42">
        <v>1.28</v>
      </c>
      <c r="K42">
        <v>87.04</v>
      </c>
      <c r="L42" t="s">
        <v>396</v>
      </c>
    </row>
    <row r="43" spans="1:12" x14ac:dyDescent="0.25">
      <c r="A43" t="s">
        <v>118</v>
      </c>
      <c r="B43" t="s">
        <v>72</v>
      </c>
      <c r="C43" t="s">
        <v>710</v>
      </c>
      <c r="D43" t="s">
        <v>711</v>
      </c>
      <c r="E43" t="s">
        <v>16</v>
      </c>
      <c r="F43">
        <v>300</v>
      </c>
      <c r="G43" t="s">
        <v>17</v>
      </c>
      <c r="J43">
        <v>1.28</v>
      </c>
      <c r="K43">
        <v>384</v>
      </c>
      <c r="L43" t="s">
        <v>203</v>
      </c>
    </row>
    <row r="44" spans="1:12" x14ac:dyDescent="0.25">
      <c r="A44" t="s">
        <v>118</v>
      </c>
      <c r="B44" t="s">
        <v>404</v>
      </c>
      <c r="C44" t="s">
        <v>674</v>
      </c>
      <c r="D44" t="s">
        <v>675</v>
      </c>
      <c r="E44" t="s">
        <v>16</v>
      </c>
      <c r="F44">
        <v>71.397999999999897</v>
      </c>
      <c r="G44" t="s">
        <v>17</v>
      </c>
      <c r="J44">
        <v>1.28</v>
      </c>
      <c r="K44">
        <v>91.39</v>
      </c>
      <c r="L44" t="s">
        <v>461</v>
      </c>
    </row>
    <row r="45" spans="1:12" x14ac:dyDescent="0.25">
      <c r="A45" t="s">
        <v>118</v>
      </c>
      <c r="B45" t="s">
        <v>79</v>
      </c>
      <c r="C45" t="s">
        <v>737</v>
      </c>
      <c r="D45" t="s">
        <v>738</v>
      </c>
      <c r="E45" t="s">
        <v>16</v>
      </c>
      <c r="F45">
        <v>78.132999999999896</v>
      </c>
      <c r="G45" t="s">
        <v>17</v>
      </c>
      <c r="J45">
        <v>1.28</v>
      </c>
      <c r="K45">
        <v>100.01</v>
      </c>
      <c r="L45" t="s">
        <v>483</v>
      </c>
    </row>
    <row r="46" spans="1:12" x14ac:dyDescent="0.25">
      <c r="A46" t="s">
        <v>118</v>
      </c>
      <c r="B46" t="s">
        <v>79</v>
      </c>
      <c r="C46" t="s">
        <v>684</v>
      </c>
      <c r="D46" t="s">
        <v>685</v>
      </c>
      <c r="E46" t="s">
        <v>16</v>
      </c>
      <c r="F46">
        <v>58.601999999999897</v>
      </c>
      <c r="G46" t="s">
        <v>17</v>
      </c>
      <c r="J46">
        <v>1.28</v>
      </c>
      <c r="K46">
        <v>75.010000000000005</v>
      </c>
      <c r="L46" t="s">
        <v>739</v>
      </c>
    </row>
    <row r="47" spans="1:12" x14ac:dyDescent="0.25">
      <c r="A47" t="s">
        <v>127</v>
      </c>
      <c r="B47" t="s">
        <v>72</v>
      </c>
      <c r="C47" t="s">
        <v>710</v>
      </c>
      <c r="D47" t="s">
        <v>711</v>
      </c>
      <c r="E47" t="s">
        <v>16</v>
      </c>
      <c r="F47">
        <v>60</v>
      </c>
      <c r="G47" t="s">
        <v>17</v>
      </c>
      <c r="J47">
        <v>1.28</v>
      </c>
      <c r="K47">
        <v>76.8</v>
      </c>
      <c r="L47" t="s">
        <v>344</v>
      </c>
    </row>
    <row r="48" spans="1:12" x14ac:dyDescent="0.25">
      <c r="A48" t="s">
        <v>127</v>
      </c>
      <c r="B48" t="s">
        <v>72</v>
      </c>
      <c r="C48" t="s">
        <v>726</v>
      </c>
      <c r="D48" t="s">
        <v>727</v>
      </c>
      <c r="E48" t="s">
        <v>16</v>
      </c>
      <c r="F48">
        <v>174</v>
      </c>
      <c r="G48" t="s">
        <v>17</v>
      </c>
      <c r="J48">
        <v>1.28</v>
      </c>
      <c r="K48">
        <v>222.72</v>
      </c>
      <c r="L48" t="s">
        <v>740</v>
      </c>
    </row>
    <row r="49" spans="1:12" x14ac:dyDescent="0.25">
      <c r="A49" t="s">
        <v>127</v>
      </c>
      <c r="B49" t="s">
        <v>72</v>
      </c>
      <c r="C49" t="s">
        <v>710</v>
      </c>
      <c r="D49" t="s">
        <v>711</v>
      </c>
      <c r="E49" t="s">
        <v>16</v>
      </c>
      <c r="F49">
        <v>50</v>
      </c>
      <c r="G49" t="s">
        <v>17</v>
      </c>
      <c r="J49">
        <v>1.28</v>
      </c>
      <c r="K49">
        <v>64</v>
      </c>
      <c r="L49" t="s">
        <v>741</v>
      </c>
    </row>
    <row r="50" spans="1:12" x14ac:dyDescent="0.25">
      <c r="A50" t="s">
        <v>38</v>
      </c>
      <c r="B50" t="s">
        <v>425</v>
      </c>
      <c r="C50" t="s">
        <v>702</v>
      </c>
      <c r="D50" t="s">
        <v>703</v>
      </c>
      <c r="E50" t="s">
        <v>174</v>
      </c>
      <c r="F50">
        <v>20.27</v>
      </c>
      <c r="G50" t="s">
        <v>17</v>
      </c>
      <c r="J50">
        <v>1.48</v>
      </c>
      <c r="K50">
        <v>30</v>
      </c>
      <c r="L50" t="s">
        <v>742</v>
      </c>
    </row>
    <row r="51" spans="1:12" x14ac:dyDescent="0.25">
      <c r="A51" t="s">
        <v>38</v>
      </c>
      <c r="B51" t="s">
        <v>404</v>
      </c>
      <c r="C51" t="s">
        <v>702</v>
      </c>
      <c r="D51" t="s">
        <v>703</v>
      </c>
      <c r="E51" t="s">
        <v>65</v>
      </c>
      <c r="F51">
        <v>36.351999999999897</v>
      </c>
      <c r="G51" t="s">
        <v>17</v>
      </c>
      <c r="J51">
        <v>1.25</v>
      </c>
      <c r="K51">
        <v>45.44</v>
      </c>
      <c r="L51" t="s">
        <v>600</v>
      </c>
    </row>
    <row r="52" spans="1:12" x14ac:dyDescent="0.25">
      <c r="A52" t="s">
        <v>38</v>
      </c>
      <c r="B52" t="s">
        <v>696</v>
      </c>
      <c r="C52" t="s">
        <v>697</v>
      </c>
      <c r="D52" t="s">
        <v>698</v>
      </c>
      <c r="E52" t="s">
        <v>65</v>
      </c>
      <c r="F52">
        <v>42.712000000000003</v>
      </c>
      <c r="G52" t="s">
        <v>17</v>
      </c>
      <c r="J52">
        <v>1.25</v>
      </c>
      <c r="K52">
        <v>53.39</v>
      </c>
      <c r="L52" t="s">
        <v>606</v>
      </c>
    </row>
    <row r="53" spans="1:12" x14ac:dyDescent="0.25">
      <c r="A53" t="s">
        <v>101</v>
      </c>
      <c r="B53" t="s">
        <v>72</v>
      </c>
      <c r="C53" t="s">
        <v>743</v>
      </c>
      <c r="D53" t="s">
        <v>744</v>
      </c>
      <c r="E53" t="s">
        <v>16</v>
      </c>
      <c r="F53">
        <v>130.13200000000001</v>
      </c>
      <c r="G53" t="s">
        <v>17</v>
      </c>
      <c r="J53">
        <v>1.29</v>
      </c>
      <c r="K53">
        <v>167.87</v>
      </c>
      <c r="L53" t="s">
        <v>745</v>
      </c>
    </row>
    <row r="54" spans="1:12" x14ac:dyDescent="0.25">
      <c r="A54" t="s">
        <v>101</v>
      </c>
      <c r="B54" t="s">
        <v>72</v>
      </c>
      <c r="C54" t="s">
        <v>746</v>
      </c>
      <c r="D54" t="s">
        <v>747</v>
      </c>
      <c r="E54" t="s">
        <v>16</v>
      </c>
      <c r="F54">
        <v>147.301999999999</v>
      </c>
      <c r="G54" t="s">
        <v>17</v>
      </c>
      <c r="J54">
        <v>1.29</v>
      </c>
      <c r="K54">
        <v>190.02</v>
      </c>
      <c r="L54" t="s">
        <v>748</v>
      </c>
    </row>
    <row r="55" spans="1:12" x14ac:dyDescent="0.25">
      <c r="A55" t="s">
        <v>101</v>
      </c>
      <c r="B55" t="s">
        <v>404</v>
      </c>
      <c r="C55" t="s">
        <v>714</v>
      </c>
      <c r="D55" t="s">
        <v>715</v>
      </c>
      <c r="E55" t="s">
        <v>16</v>
      </c>
      <c r="F55">
        <v>67.007999999999896</v>
      </c>
      <c r="G55" t="s">
        <v>17</v>
      </c>
      <c r="J55">
        <v>1.29</v>
      </c>
      <c r="K55">
        <v>86.44</v>
      </c>
      <c r="L55" t="s">
        <v>454</v>
      </c>
    </row>
    <row r="56" spans="1:12" x14ac:dyDescent="0.25">
      <c r="A56" t="s">
        <v>101</v>
      </c>
      <c r="B56" t="s">
        <v>348</v>
      </c>
      <c r="C56" t="s">
        <v>702</v>
      </c>
      <c r="D56" t="s">
        <v>703</v>
      </c>
      <c r="E56" t="s">
        <v>174</v>
      </c>
      <c r="F56">
        <v>33.651000000000003</v>
      </c>
      <c r="G56" t="s">
        <v>17</v>
      </c>
      <c r="J56">
        <v>1.49</v>
      </c>
      <c r="K56">
        <v>50.14</v>
      </c>
      <c r="L56" t="s">
        <v>749</v>
      </c>
    </row>
    <row r="57" spans="1:12" x14ac:dyDescent="0.25">
      <c r="A57" t="s">
        <v>101</v>
      </c>
      <c r="B57" t="s">
        <v>79</v>
      </c>
      <c r="C57" t="s">
        <v>674</v>
      </c>
      <c r="D57" t="s">
        <v>675</v>
      </c>
      <c r="E57" t="s">
        <v>16</v>
      </c>
      <c r="F57">
        <v>42.503999999999898</v>
      </c>
      <c r="G57" t="s">
        <v>17</v>
      </c>
      <c r="J57">
        <v>1.29</v>
      </c>
      <c r="K57">
        <v>54.83</v>
      </c>
      <c r="L57" t="s">
        <v>750</v>
      </c>
    </row>
    <row r="58" spans="1:12" x14ac:dyDescent="0.25">
      <c r="A58" t="s">
        <v>41</v>
      </c>
      <c r="B58" t="s">
        <v>72</v>
      </c>
      <c r="C58" t="s">
        <v>710</v>
      </c>
      <c r="D58" t="s">
        <v>711</v>
      </c>
      <c r="E58" t="s">
        <v>16</v>
      </c>
      <c r="F58">
        <v>50</v>
      </c>
      <c r="G58" t="s">
        <v>17</v>
      </c>
      <c r="J58">
        <v>1.29</v>
      </c>
      <c r="K58">
        <v>64.5</v>
      </c>
      <c r="L58" t="s">
        <v>234</v>
      </c>
    </row>
    <row r="59" spans="1:12" x14ac:dyDescent="0.25">
      <c r="A59" t="s">
        <v>41</v>
      </c>
      <c r="B59" t="s">
        <v>72</v>
      </c>
      <c r="C59" t="s">
        <v>726</v>
      </c>
      <c r="D59" t="s">
        <v>727</v>
      </c>
      <c r="E59" t="s">
        <v>16</v>
      </c>
      <c r="F59">
        <v>150.59700000000001</v>
      </c>
      <c r="G59" t="s">
        <v>17</v>
      </c>
      <c r="J59">
        <v>1.29</v>
      </c>
      <c r="K59">
        <v>194.27</v>
      </c>
      <c r="L59" t="s">
        <v>751</v>
      </c>
    </row>
    <row r="60" spans="1:12" x14ac:dyDescent="0.25">
      <c r="A60" t="s">
        <v>41</v>
      </c>
      <c r="B60" t="s">
        <v>72</v>
      </c>
      <c r="C60" t="s">
        <v>710</v>
      </c>
      <c r="D60" t="s">
        <v>711</v>
      </c>
      <c r="E60" t="s">
        <v>16</v>
      </c>
      <c r="F60">
        <v>300</v>
      </c>
      <c r="G60" t="s">
        <v>17</v>
      </c>
      <c r="J60">
        <v>1.29</v>
      </c>
      <c r="K60">
        <v>387</v>
      </c>
      <c r="L60" t="s">
        <v>221</v>
      </c>
    </row>
    <row r="61" spans="1:12" x14ac:dyDescent="0.25">
      <c r="A61" t="s">
        <v>41</v>
      </c>
      <c r="B61" t="s">
        <v>404</v>
      </c>
      <c r="C61" t="s">
        <v>710</v>
      </c>
      <c r="D61" t="s">
        <v>711</v>
      </c>
      <c r="E61" t="s">
        <v>16</v>
      </c>
      <c r="F61">
        <v>50</v>
      </c>
      <c r="G61" t="s">
        <v>17</v>
      </c>
      <c r="J61">
        <v>1.29</v>
      </c>
      <c r="K61">
        <v>64.5</v>
      </c>
      <c r="L61" t="s">
        <v>752</v>
      </c>
    </row>
    <row r="62" spans="1:12" x14ac:dyDescent="0.25">
      <c r="A62" t="s">
        <v>43</v>
      </c>
      <c r="B62" t="s">
        <v>72</v>
      </c>
      <c r="C62" t="s">
        <v>677</v>
      </c>
      <c r="D62" t="s">
        <v>678</v>
      </c>
      <c r="E62" t="s">
        <v>16</v>
      </c>
      <c r="F62">
        <v>48</v>
      </c>
      <c r="G62" t="s">
        <v>17</v>
      </c>
      <c r="J62">
        <v>1.3</v>
      </c>
      <c r="K62">
        <v>62.4</v>
      </c>
      <c r="L62" t="s">
        <v>471</v>
      </c>
    </row>
    <row r="63" spans="1:12" x14ac:dyDescent="0.25">
      <c r="A63" t="s">
        <v>43</v>
      </c>
      <c r="B63" t="s">
        <v>404</v>
      </c>
      <c r="C63" t="s">
        <v>735</v>
      </c>
      <c r="D63" t="s">
        <v>736</v>
      </c>
      <c r="E63" t="s">
        <v>16</v>
      </c>
      <c r="F63">
        <v>62.430999999999898</v>
      </c>
      <c r="G63" t="s">
        <v>17</v>
      </c>
      <c r="J63">
        <v>1.3</v>
      </c>
      <c r="K63">
        <v>81.16</v>
      </c>
      <c r="L63" t="s">
        <v>753</v>
      </c>
    </row>
    <row r="64" spans="1:12" x14ac:dyDescent="0.25">
      <c r="A64" t="s">
        <v>43</v>
      </c>
      <c r="B64" t="s">
        <v>754</v>
      </c>
      <c r="C64" t="s">
        <v>674</v>
      </c>
      <c r="D64" t="s">
        <v>675</v>
      </c>
      <c r="E64" t="s">
        <v>16</v>
      </c>
      <c r="F64">
        <v>25.273</v>
      </c>
      <c r="G64" t="s">
        <v>17</v>
      </c>
      <c r="J64">
        <v>1.28</v>
      </c>
      <c r="K64">
        <v>32.35</v>
      </c>
      <c r="L64" t="s">
        <v>755</v>
      </c>
    </row>
    <row r="65" spans="1:12" x14ac:dyDescent="0.25">
      <c r="A65" t="s">
        <v>43</v>
      </c>
      <c r="B65" t="s">
        <v>79</v>
      </c>
      <c r="C65" t="s">
        <v>684</v>
      </c>
      <c r="D65" t="s">
        <v>685</v>
      </c>
      <c r="E65" t="s">
        <v>16</v>
      </c>
      <c r="F65">
        <v>55.423000000000002</v>
      </c>
      <c r="G65" t="s">
        <v>17</v>
      </c>
      <c r="J65">
        <v>1.3</v>
      </c>
      <c r="K65">
        <v>72.05</v>
      </c>
      <c r="L65" t="s">
        <v>756</v>
      </c>
    </row>
    <row r="66" spans="1:12" x14ac:dyDescent="0.25">
      <c r="A66" t="s">
        <v>43</v>
      </c>
      <c r="B66" t="s">
        <v>696</v>
      </c>
      <c r="C66" t="s">
        <v>697</v>
      </c>
      <c r="D66" t="s">
        <v>698</v>
      </c>
      <c r="E66" t="s">
        <v>65</v>
      </c>
      <c r="F66">
        <v>39.079000000000001</v>
      </c>
      <c r="G66" t="s">
        <v>17</v>
      </c>
      <c r="J66">
        <v>1.26</v>
      </c>
      <c r="K66">
        <v>49.24</v>
      </c>
      <c r="L66" t="s">
        <v>505</v>
      </c>
    </row>
    <row r="67" spans="1:12" x14ac:dyDescent="0.25">
      <c r="A67" t="s">
        <v>45</v>
      </c>
      <c r="B67" t="s">
        <v>72</v>
      </c>
      <c r="C67" t="s">
        <v>710</v>
      </c>
      <c r="D67" t="s">
        <v>711</v>
      </c>
      <c r="E67" t="s">
        <v>16</v>
      </c>
      <c r="F67">
        <v>50</v>
      </c>
      <c r="G67" t="s">
        <v>17</v>
      </c>
      <c r="J67">
        <v>1.3</v>
      </c>
      <c r="K67">
        <v>65</v>
      </c>
      <c r="L67" t="s">
        <v>757</v>
      </c>
    </row>
    <row r="68" spans="1:12" x14ac:dyDescent="0.25">
      <c r="A68" t="s">
        <v>45</v>
      </c>
      <c r="B68" t="s">
        <v>72</v>
      </c>
      <c r="C68" t="s">
        <v>710</v>
      </c>
      <c r="D68" t="s">
        <v>711</v>
      </c>
      <c r="E68" t="s">
        <v>16</v>
      </c>
      <c r="F68">
        <v>50</v>
      </c>
      <c r="G68" t="s">
        <v>17</v>
      </c>
      <c r="J68">
        <v>1.3</v>
      </c>
      <c r="K68">
        <v>65</v>
      </c>
      <c r="L68" t="s">
        <v>712</v>
      </c>
    </row>
    <row r="69" spans="1:12" x14ac:dyDescent="0.25">
      <c r="A69" t="s">
        <v>45</v>
      </c>
      <c r="B69" t="s">
        <v>696</v>
      </c>
      <c r="C69" t="s">
        <v>697</v>
      </c>
      <c r="D69" t="s">
        <v>698</v>
      </c>
      <c r="E69" t="s">
        <v>65</v>
      </c>
      <c r="F69">
        <v>32.277999999999899</v>
      </c>
      <c r="G69" t="s">
        <v>17</v>
      </c>
      <c r="J69">
        <v>1.26</v>
      </c>
      <c r="K69">
        <v>40.67</v>
      </c>
      <c r="L69" t="s">
        <v>758</v>
      </c>
    </row>
    <row r="70" spans="1:12" x14ac:dyDescent="0.25">
      <c r="A70" t="s">
        <v>116</v>
      </c>
      <c r="B70" t="s">
        <v>72</v>
      </c>
      <c r="C70" t="s">
        <v>710</v>
      </c>
      <c r="D70" t="s">
        <v>711</v>
      </c>
      <c r="E70" t="s">
        <v>16</v>
      </c>
      <c r="F70">
        <v>80</v>
      </c>
      <c r="G70" t="s">
        <v>17</v>
      </c>
      <c r="J70">
        <v>1.31</v>
      </c>
      <c r="K70">
        <v>104.8</v>
      </c>
      <c r="L70" t="s">
        <v>377</v>
      </c>
    </row>
    <row r="71" spans="1:12" x14ac:dyDescent="0.25">
      <c r="F71" s="1">
        <f>SUM(F2:F3,F5:F70)</f>
        <v>7075.7809999999936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L5"/>
  <sheetViews>
    <sheetView workbookViewId="0">
      <selection activeCell="F5" sqref="F5"/>
    </sheetView>
  </sheetViews>
  <sheetFormatPr defaultRowHeight="15" x14ac:dyDescent="0.25"/>
  <cols>
    <col min="1" max="1" width="10.42578125" bestFit="1" customWidth="1"/>
    <col min="2" max="2" width="20.42578125" bestFit="1" customWidth="1"/>
    <col min="3" max="3" width="8.5703125" bestFit="1" customWidth="1"/>
    <col min="4" max="4" width="18.28515625" bestFit="1" customWidth="1"/>
    <col min="5" max="5" width="16.4257812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76</v>
      </c>
      <c r="B2" t="s">
        <v>72</v>
      </c>
      <c r="C2" t="s">
        <v>759</v>
      </c>
      <c r="D2" t="s">
        <v>760</v>
      </c>
      <c r="E2" t="s">
        <v>16</v>
      </c>
      <c r="F2">
        <v>69.453000000000003</v>
      </c>
      <c r="G2" t="s">
        <v>17</v>
      </c>
      <c r="J2">
        <v>1.28</v>
      </c>
      <c r="K2">
        <v>88.9</v>
      </c>
      <c r="L2" t="s">
        <v>761</v>
      </c>
    </row>
    <row r="3" spans="1:12" x14ac:dyDescent="0.25">
      <c r="A3" t="s">
        <v>28</v>
      </c>
      <c r="B3" t="s">
        <v>68</v>
      </c>
      <c r="C3" t="s">
        <v>762</v>
      </c>
      <c r="D3" t="s">
        <v>763</v>
      </c>
      <c r="E3" t="s">
        <v>16</v>
      </c>
      <c r="F3">
        <v>36.226999999999897</v>
      </c>
      <c r="G3" t="s">
        <v>17</v>
      </c>
      <c r="J3">
        <v>1.28</v>
      </c>
      <c r="K3">
        <v>46.37</v>
      </c>
      <c r="L3" t="s">
        <v>742</v>
      </c>
    </row>
    <row r="4" spans="1:12" x14ac:dyDescent="0.25">
      <c r="A4" t="s">
        <v>45</v>
      </c>
      <c r="B4" t="s">
        <v>68</v>
      </c>
      <c r="C4" t="s">
        <v>762</v>
      </c>
      <c r="D4" t="s">
        <v>763</v>
      </c>
      <c r="E4" t="s">
        <v>16</v>
      </c>
      <c r="F4">
        <v>37.430999999999898</v>
      </c>
      <c r="G4" t="s">
        <v>17</v>
      </c>
      <c r="J4">
        <v>1.3</v>
      </c>
      <c r="K4">
        <v>48.66</v>
      </c>
      <c r="L4" t="s">
        <v>689</v>
      </c>
    </row>
    <row r="5" spans="1:12" x14ac:dyDescent="0.25">
      <c r="F5" s="1">
        <f>SUM(F2:F4)</f>
        <v>143.11099999999979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L97"/>
  <sheetViews>
    <sheetView tabSelected="1" workbookViewId="0">
      <selection activeCell="F97" sqref="F97"/>
    </sheetView>
  </sheetViews>
  <sheetFormatPr defaultRowHeight="15" x14ac:dyDescent="0.25"/>
  <cols>
    <col min="1" max="1" width="10.42578125" bestFit="1" customWidth="1"/>
    <col min="2" max="2" width="33.28515625" bestFit="1" customWidth="1"/>
    <col min="3" max="3" width="8.85546875" bestFit="1" customWidth="1"/>
    <col min="4" max="4" width="18.28515625" bestFit="1" customWidth="1"/>
    <col min="5" max="5" width="32" bestFit="1" customWidth="1"/>
    <col min="6" max="6" width="9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</v>
      </c>
      <c r="B2" t="s">
        <v>500</v>
      </c>
      <c r="C2" t="s">
        <v>764</v>
      </c>
      <c r="D2" t="s">
        <v>765</v>
      </c>
      <c r="E2" t="s">
        <v>16</v>
      </c>
      <c r="F2">
        <v>252.640999999999</v>
      </c>
      <c r="G2" t="s">
        <v>17</v>
      </c>
      <c r="J2">
        <v>1.28</v>
      </c>
      <c r="K2">
        <v>323.38</v>
      </c>
      <c r="L2" t="s">
        <v>78</v>
      </c>
    </row>
    <row r="3" spans="1:12" x14ac:dyDescent="0.25">
      <c r="A3" t="s">
        <v>51</v>
      </c>
      <c r="B3" t="s">
        <v>72</v>
      </c>
      <c r="C3" t="s">
        <v>766</v>
      </c>
      <c r="D3" t="s">
        <v>767</v>
      </c>
      <c r="E3" t="s">
        <v>16</v>
      </c>
      <c r="F3">
        <v>53.671999999999898</v>
      </c>
      <c r="G3" t="s">
        <v>17</v>
      </c>
      <c r="J3">
        <v>1.28</v>
      </c>
      <c r="K3">
        <v>68.7</v>
      </c>
      <c r="L3" t="s">
        <v>768</v>
      </c>
    </row>
    <row r="4" spans="1:12" x14ac:dyDescent="0.25">
      <c r="A4" t="s">
        <v>51</v>
      </c>
      <c r="B4" t="s">
        <v>72</v>
      </c>
      <c r="C4" t="s">
        <v>769</v>
      </c>
      <c r="D4" t="s">
        <v>770</v>
      </c>
      <c r="E4" t="s">
        <v>16</v>
      </c>
      <c r="F4">
        <v>54.438000000000002</v>
      </c>
      <c r="G4" t="s">
        <v>17</v>
      </c>
      <c r="J4">
        <v>1.28</v>
      </c>
      <c r="K4">
        <v>69.680000000000007</v>
      </c>
      <c r="L4" t="s">
        <v>771</v>
      </c>
    </row>
    <row r="5" spans="1:12" x14ac:dyDescent="0.25">
      <c r="A5" t="s">
        <v>51</v>
      </c>
      <c r="B5" t="s">
        <v>508</v>
      </c>
      <c r="C5" t="s">
        <v>772</v>
      </c>
      <c r="D5" t="s">
        <v>773</v>
      </c>
      <c r="E5" t="s">
        <v>16</v>
      </c>
      <c r="F5">
        <v>74.882999999999896</v>
      </c>
      <c r="G5" t="s">
        <v>17</v>
      </c>
      <c r="J5">
        <v>1.28</v>
      </c>
      <c r="K5">
        <v>95.85</v>
      </c>
      <c r="L5" t="s">
        <v>749</v>
      </c>
    </row>
    <row r="6" spans="1:12" x14ac:dyDescent="0.25">
      <c r="A6" t="s">
        <v>12</v>
      </c>
      <c r="B6" t="s">
        <v>68</v>
      </c>
      <c r="C6" t="s">
        <v>769</v>
      </c>
      <c r="D6" t="s">
        <v>770</v>
      </c>
      <c r="E6" t="s">
        <v>16</v>
      </c>
      <c r="F6">
        <v>41.969000000000001</v>
      </c>
      <c r="G6" t="s">
        <v>17</v>
      </c>
      <c r="J6">
        <v>1.28</v>
      </c>
      <c r="K6">
        <v>53.72</v>
      </c>
      <c r="L6" t="s">
        <v>451</v>
      </c>
    </row>
    <row r="7" spans="1:12" x14ac:dyDescent="0.25">
      <c r="A7" t="s">
        <v>12</v>
      </c>
      <c r="B7" t="s">
        <v>227</v>
      </c>
      <c r="C7" t="s">
        <v>774</v>
      </c>
      <c r="D7" t="s">
        <v>775</v>
      </c>
      <c r="E7" t="s">
        <v>16</v>
      </c>
      <c r="F7">
        <v>53.055</v>
      </c>
      <c r="G7" t="s">
        <v>17</v>
      </c>
      <c r="J7">
        <v>1.27</v>
      </c>
      <c r="K7">
        <v>67.38</v>
      </c>
      <c r="L7" t="s">
        <v>507</v>
      </c>
    </row>
    <row r="8" spans="1:12" x14ac:dyDescent="0.25">
      <c r="A8" t="s">
        <v>19</v>
      </c>
      <c r="B8" t="s">
        <v>72</v>
      </c>
      <c r="C8" t="s">
        <v>242</v>
      </c>
      <c r="D8" t="s">
        <v>776</v>
      </c>
      <c r="E8" t="s">
        <v>65</v>
      </c>
      <c r="F8">
        <v>52.2</v>
      </c>
      <c r="G8" t="s">
        <v>17</v>
      </c>
      <c r="J8">
        <v>1.25</v>
      </c>
      <c r="K8">
        <v>65.25</v>
      </c>
      <c r="L8" t="s">
        <v>740</v>
      </c>
    </row>
    <row r="9" spans="1:12" x14ac:dyDescent="0.25">
      <c r="A9" t="s">
        <v>19</v>
      </c>
      <c r="B9" t="s">
        <v>72</v>
      </c>
      <c r="C9" t="s">
        <v>769</v>
      </c>
      <c r="D9" t="s">
        <v>770</v>
      </c>
      <c r="E9" t="s">
        <v>16</v>
      </c>
      <c r="F9">
        <v>57.648000000000003</v>
      </c>
      <c r="G9" t="s">
        <v>17</v>
      </c>
      <c r="J9">
        <v>1.28</v>
      </c>
      <c r="K9">
        <v>73.790000000000006</v>
      </c>
      <c r="L9" t="s">
        <v>149</v>
      </c>
    </row>
    <row r="10" spans="1:12" x14ac:dyDescent="0.25">
      <c r="A10" t="s">
        <v>19</v>
      </c>
      <c r="B10" t="s">
        <v>72</v>
      </c>
      <c r="C10" t="s">
        <v>248</v>
      </c>
      <c r="D10" t="s">
        <v>777</v>
      </c>
      <c r="E10" t="s">
        <v>170</v>
      </c>
      <c r="F10">
        <v>54.378999999999898</v>
      </c>
      <c r="G10" t="s">
        <v>17</v>
      </c>
      <c r="J10">
        <v>1.53</v>
      </c>
      <c r="K10">
        <v>83.2</v>
      </c>
      <c r="L10" t="s">
        <v>334</v>
      </c>
    </row>
    <row r="11" spans="1:12" x14ac:dyDescent="0.25">
      <c r="A11" t="s">
        <v>19</v>
      </c>
      <c r="B11" t="s">
        <v>132</v>
      </c>
      <c r="C11" t="s">
        <v>778</v>
      </c>
      <c r="D11" t="s">
        <v>779</v>
      </c>
      <c r="E11" t="s">
        <v>65</v>
      </c>
      <c r="F11">
        <v>33.723999999999897</v>
      </c>
      <c r="G11" t="s">
        <v>17</v>
      </c>
      <c r="J11">
        <v>1.23</v>
      </c>
      <c r="K11">
        <v>41.48</v>
      </c>
      <c r="L11" t="s">
        <v>780</v>
      </c>
    </row>
    <row r="12" spans="1:12" x14ac:dyDescent="0.25">
      <c r="A12" t="s">
        <v>19</v>
      </c>
      <c r="B12" t="s">
        <v>781</v>
      </c>
      <c r="C12" t="s">
        <v>782</v>
      </c>
      <c r="D12" t="s">
        <v>783</v>
      </c>
      <c r="E12" t="s">
        <v>16</v>
      </c>
      <c r="F12">
        <v>72.171999999999898</v>
      </c>
      <c r="G12" t="s">
        <v>17</v>
      </c>
      <c r="J12">
        <v>1.28</v>
      </c>
      <c r="K12">
        <v>92.38</v>
      </c>
      <c r="L12" t="s">
        <v>784</v>
      </c>
    </row>
    <row r="13" spans="1:12" x14ac:dyDescent="0.25">
      <c r="A13" t="s">
        <v>19</v>
      </c>
      <c r="B13" t="s">
        <v>260</v>
      </c>
      <c r="C13" t="s">
        <v>785</v>
      </c>
      <c r="D13" t="s">
        <v>786</v>
      </c>
      <c r="E13" t="s">
        <v>16</v>
      </c>
      <c r="F13">
        <v>82.421999999999898</v>
      </c>
      <c r="G13" t="s">
        <v>17</v>
      </c>
      <c r="J13">
        <v>1.28</v>
      </c>
      <c r="K13">
        <v>105.5</v>
      </c>
      <c r="L13" t="s">
        <v>205</v>
      </c>
    </row>
    <row r="14" spans="1:12" x14ac:dyDescent="0.25">
      <c r="A14" t="s">
        <v>61</v>
      </c>
      <c r="B14" t="s">
        <v>72</v>
      </c>
      <c r="C14" t="s">
        <v>248</v>
      </c>
      <c r="D14" t="s">
        <v>777</v>
      </c>
      <c r="E14" t="s">
        <v>16</v>
      </c>
      <c r="F14">
        <v>59.960999999999899</v>
      </c>
      <c r="G14" t="s">
        <v>17</v>
      </c>
      <c r="J14">
        <v>1.28</v>
      </c>
      <c r="K14">
        <v>76.75</v>
      </c>
      <c r="L14" t="s">
        <v>787</v>
      </c>
    </row>
    <row r="15" spans="1:12" x14ac:dyDescent="0.25">
      <c r="A15" t="s">
        <v>57</v>
      </c>
      <c r="B15" t="s">
        <v>788</v>
      </c>
      <c r="C15" t="s">
        <v>789</v>
      </c>
      <c r="D15" t="s">
        <v>790</v>
      </c>
      <c r="E15" t="s">
        <v>65</v>
      </c>
      <c r="F15">
        <v>32</v>
      </c>
      <c r="G15" t="s">
        <v>17</v>
      </c>
      <c r="J15">
        <v>1.25</v>
      </c>
      <c r="K15">
        <v>40</v>
      </c>
      <c r="L15" t="s">
        <v>315</v>
      </c>
    </row>
    <row r="16" spans="1:12" x14ac:dyDescent="0.25">
      <c r="A16" t="s">
        <v>57</v>
      </c>
      <c r="B16" t="s">
        <v>788</v>
      </c>
      <c r="C16" t="s">
        <v>789</v>
      </c>
      <c r="D16" t="s">
        <v>790</v>
      </c>
      <c r="E16" t="s">
        <v>636</v>
      </c>
      <c r="F16">
        <v>26.138000000000002</v>
      </c>
      <c r="G16" t="s">
        <v>17</v>
      </c>
      <c r="J16">
        <v>0.57999999999999996</v>
      </c>
      <c r="K16">
        <v>15.16</v>
      </c>
      <c r="L16" t="s">
        <v>315</v>
      </c>
    </row>
    <row r="17" spans="1:12" x14ac:dyDescent="0.25">
      <c r="A17" t="s">
        <v>57</v>
      </c>
      <c r="B17" t="s">
        <v>72</v>
      </c>
      <c r="C17" t="s">
        <v>766</v>
      </c>
      <c r="D17" t="s">
        <v>767</v>
      </c>
      <c r="E17" t="s">
        <v>16</v>
      </c>
      <c r="F17">
        <v>40.719000000000001</v>
      </c>
      <c r="G17" t="s">
        <v>17</v>
      </c>
      <c r="J17">
        <v>1.28</v>
      </c>
      <c r="K17">
        <v>52.12</v>
      </c>
      <c r="L17" t="s">
        <v>131</v>
      </c>
    </row>
    <row r="18" spans="1:12" x14ac:dyDescent="0.25">
      <c r="A18" t="s">
        <v>57</v>
      </c>
      <c r="B18" t="s">
        <v>791</v>
      </c>
      <c r="C18" t="s">
        <v>772</v>
      </c>
      <c r="D18" t="s">
        <v>773</v>
      </c>
      <c r="E18" t="s">
        <v>16</v>
      </c>
      <c r="F18">
        <v>65.641000000000005</v>
      </c>
      <c r="G18" t="s">
        <v>17</v>
      </c>
      <c r="J18">
        <v>1.28</v>
      </c>
      <c r="K18">
        <v>84.02</v>
      </c>
      <c r="L18" t="s">
        <v>792</v>
      </c>
    </row>
    <row r="19" spans="1:12" x14ac:dyDescent="0.25">
      <c r="A19" t="s">
        <v>57</v>
      </c>
      <c r="B19" t="s">
        <v>52</v>
      </c>
      <c r="C19" t="s">
        <v>793</v>
      </c>
      <c r="D19" t="s">
        <v>794</v>
      </c>
      <c r="E19" t="s">
        <v>16</v>
      </c>
      <c r="F19">
        <v>65.272999999999897</v>
      </c>
      <c r="G19" t="s">
        <v>17</v>
      </c>
      <c r="J19">
        <v>1.28</v>
      </c>
      <c r="K19">
        <v>83.55</v>
      </c>
      <c r="L19" t="s">
        <v>795</v>
      </c>
    </row>
    <row r="20" spans="1:12" x14ac:dyDescent="0.25">
      <c r="A20" t="s">
        <v>76</v>
      </c>
      <c r="B20" t="s">
        <v>788</v>
      </c>
      <c r="C20" t="s">
        <v>772</v>
      </c>
      <c r="D20" t="s">
        <v>773</v>
      </c>
      <c r="E20" t="s">
        <v>16</v>
      </c>
      <c r="F20">
        <v>52.609000000000002</v>
      </c>
      <c r="G20" t="s">
        <v>17</v>
      </c>
      <c r="J20">
        <v>1.28</v>
      </c>
      <c r="K20">
        <v>67.34</v>
      </c>
      <c r="L20" t="s">
        <v>796</v>
      </c>
    </row>
    <row r="21" spans="1:12" x14ac:dyDescent="0.25">
      <c r="A21" t="s">
        <v>76</v>
      </c>
      <c r="B21" t="s">
        <v>797</v>
      </c>
      <c r="C21" t="s">
        <v>782</v>
      </c>
      <c r="D21" t="s">
        <v>783</v>
      </c>
      <c r="E21" t="s">
        <v>16</v>
      </c>
      <c r="F21">
        <v>62.890999999999899</v>
      </c>
      <c r="G21" t="s">
        <v>17</v>
      </c>
      <c r="J21">
        <v>1.28</v>
      </c>
      <c r="K21">
        <v>80.5</v>
      </c>
      <c r="L21" t="s">
        <v>546</v>
      </c>
    </row>
    <row r="22" spans="1:12" x14ac:dyDescent="0.25">
      <c r="A22" t="s">
        <v>76</v>
      </c>
      <c r="B22" t="s">
        <v>72</v>
      </c>
      <c r="C22" t="s">
        <v>764</v>
      </c>
      <c r="D22" t="s">
        <v>765</v>
      </c>
      <c r="E22" t="s">
        <v>16</v>
      </c>
      <c r="F22">
        <v>328.14100000000002</v>
      </c>
      <c r="G22" t="s">
        <v>17</v>
      </c>
      <c r="J22">
        <v>1.28</v>
      </c>
      <c r="K22">
        <v>420.02</v>
      </c>
      <c r="L22" t="s">
        <v>798</v>
      </c>
    </row>
    <row r="23" spans="1:12" x14ac:dyDescent="0.25">
      <c r="A23" t="s">
        <v>76</v>
      </c>
      <c r="B23" t="s">
        <v>72</v>
      </c>
      <c r="C23" t="s">
        <v>248</v>
      </c>
      <c r="D23" t="s">
        <v>777</v>
      </c>
      <c r="E23" t="s">
        <v>16</v>
      </c>
      <c r="F23">
        <v>59.148000000000003</v>
      </c>
      <c r="G23" t="s">
        <v>17</v>
      </c>
      <c r="J23">
        <v>1.28</v>
      </c>
      <c r="K23">
        <v>75.709999999999994</v>
      </c>
      <c r="L23" t="s">
        <v>143</v>
      </c>
    </row>
    <row r="24" spans="1:12" x14ac:dyDescent="0.25">
      <c r="A24" t="s">
        <v>76</v>
      </c>
      <c r="B24" t="s">
        <v>72</v>
      </c>
      <c r="C24" t="s">
        <v>774</v>
      </c>
      <c r="D24" t="s">
        <v>775</v>
      </c>
      <c r="E24" t="s">
        <v>16</v>
      </c>
      <c r="F24">
        <v>62.359000000000002</v>
      </c>
      <c r="G24" t="s">
        <v>17</v>
      </c>
      <c r="J24">
        <v>1.28</v>
      </c>
      <c r="K24">
        <v>79.819999999999993</v>
      </c>
      <c r="L24" t="s">
        <v>563</v>
      </c>
    </row>
    <row r="25" spans="1:12" x14ac:dyDescent="0.25">
      <c r="A25" t="s">
        <v>76</v>
      </c>
      <c r="B25" t="s">
        <v>72</v>
      </c>
      <c r="C25" t="s">
        <v>766</v>
      </c>
      <c r="D25" t="s">
        <v>767</v>
      </c>
      <c r="E25" t="s">
        <v>16</v>
      </c>
      <c r="F25">
        <v>54.273000000000003</v>
      </c>
      <c r="G25" t="s">
        <v>17</v>
      </c>
      <c r="J25">
        <v>1.28</v>
      </c>
      <c r="K25">
        <v>69.47</v>
      </c>
      <c r="L25" t="s">
        <v>799</v>
      </c>
    </row>
    <row r="26" spans="1:12" x14ac:dyDescent="0.25">
      <c r="A26" t="s">
        <v>24</v>
      </c>
      <c r="B26" t="s">
        <v>788</v>
      </c>
      <c r="C26" t="s">
        <v>778</v>
      </c>
      <c r="D26" t="s">
        <v>779</v>
      </c>
      <c r="E26" t="s">
        <v>65</v>
      </c>
      <c r="F26">
        <v>34.503999999999898</v>
      </c>
      <c r="G26" t="s">
        <v>17</v>
      </c>
      <c r="J26">
        <v>1.25</v>
      </c>
      <c r="K26">
        <v>43.13</v>
      </c>
      <c r="L26" t="s">
        <v>800</v>
      </c>
    </row>
    <row r="27" spans="1:12" x14ac:dyDescent="0.25">
      <c r="A27" t="s">
        <v>24</v>
      </c>
      <c r="B27" t="s">
        <v>419</v>
      </c>
      <c r="C27" t="s">
        <v>772</v>
      </c>
      <c r="D27" t="s">
        <v>773</v>
      </c>
      <c r="E27" t="s">
        <v>16</v>
      </c>
      <c r="F27">
        <v>71.456999999999894</v>
      </c>
      <c r="G27" t="s">
        <v>17</v>
      </c>
      <c r="J27">
        <v>1.27</v>
      </c>
      <c r="K27">
        <v>90.75</v>
      </c>
      <c r="L27" t="s">
        <v>801</v>
      </c>
    </row>
    <row r="28" spans="1:12" x14ac:dyDescent="0.25">
      <c r="A28" t="s">
        <v>24</v>
      </c>
      <c r="B28" t="s">
        <v>72</v>
      </c>
      <c r="C28" t="s">
        <v>769</v>
      </c>
      <c r="D28" t="s">
        <v>770</v>
      </c>
      <c r="E28" t="s">
        <v>16</v>
      </c>
      <c r="F28">
        <v>60.938000000000002</v>
      </c>
      <c r="G28" t="s">
        <v>17</v>
      </c>
      <c r="J28">
        <v>1.28</v>
      </c>
      <c r="K28">
        <v>78</v>
      </c>
      <c r="L28" t="s">
        <v>802</v>
      </c>
    </row>
    <row r="29" spans="1:12" x14ac:dyDescent="0.25">
      <c r="A29" t="s">
        <v>24</v>
      </c>
      <c r="B29" t="s">
        <v>227</v>
      </c>
      <c r="C29" t="s">
        <v>803</v>
      </c>
      <c r="D29" t="s">
        <v>804</v>
      </c>
      <c r="E29" t="s">
        <v>16</v>
      </c>
      <c r="F29">
        <v>54.180999999999898</v>
      </c>
      <c r="G29" t="s">
        <v>17</v>
      </c>
      <c r="J29">
        <v>1.27</v>
      </c>
      <c r="K29">
        <v>68.81</v>
      </c>
      <c r="L29" t="s">
        <v>805</v>
      </c>
    </row>
    <row r="30" spans="1:12" x14ac:dyDescent="0.25">
      <c r="A30" t="s">
        <v>24</v>
      </c>
      <c r="B30" t="s">
        <v>806</v>
      </c>
      <c r="C30" t="s">
        <v>774</v>
      </c>
      <c r="D30" t="s">
        <v>775</v>
      </c>
      <c r="E30" t="s">
        <v>16</v>
      </c>
      <c r="F30">
        <v>38.258000000000003</v>
      </c>
      <c r="G30" t="s">
        <v>17</v>
      </c>
      <c r="J30">
        <v>1.28</v>
      </c>
      <c r="K30">
        <v>48.97</v>
      </c>
      <c r="L30" t="s">
        <v>77</v>
      </c>
    </row>
    <row r="31" spans="1:12" x14ac:dyDescent="0.25">
      <c r="A31" t="s">
        <v>24</v>
      </c>
      <c r="B31" t="s">
        <v>79</v>
      </c>
      <c r="C31" t="s">
        <v>807</v>
      </c>
      <c r="D31" t="s">
        <v>808</v>
      </c>
      <c r="E31" t="s">
        <v>65</v>
      </c>
      <c r="F31">
        <v>30.637</v>
      </c>
      <c r="G31" t="s">
        <v>17</v>
      </c>
      <c r="J31">
        <v>1.24</v>
      </c>
      <c r="K31">
        <v>37.99</v>
      </c>
      <c r="L31" t="s">
        <v>809</v>
      </c>
    </row>
    <row r="32" spans="1:12" x14ac:dyDescent="0.25">
      <c r="A32" t="s">
        <v>28</v>
      </c>
      <c r="B32" t="s">
        <v>72</v>
      </c>
      <c r="C32" t="s">
        <v>764</v>
      </c>
      <c r="D32" t="s">
        <v>765</v>
      </c>
      <c r="E32" t="s">
        <v>16</v>
      </c>
      <c r="F32">
        <v>319.89100000000002</v>
      </c>
      <c r="G32" t="s">
        <v>17</v>
      </c>
      <c r="J32">
        <v>1.28</v>
      </c>
      <c r="K32">
        <v>409.46</v>
      </c>
      <c r="L32" t="s">
        <v>221</v>
      </c>
    </row>
    <row r="33" spans="1:12" x14ac:dyDescent="0.25">
      <c r="A33" t="s">
        <v>28</v>
      </c>
      <c r="B33" t="s">
        <v>791</v>
      </c>
      <c r="C33" t="s">
        <v>772</v>
      </c>
      <c r="D33" t="s">
        <v>773</v>
      </c>
      <c r="E33" t="s">
        <v>16</v>
      </c>
      <c r="F33">
        <v>58.609000000000002</v>
      </c>
      <c r="G33" t="s">
        <v>17</v>
      </c>
      <c r="J33">
        <v>1.28</v>
      </c>
      <c r="K33">
        <v>75.02</v>
      </c>
      <c r="L33" t="s">
        <v>810</v>
      </c>
    </row>
    <row r="34" spans="1:12" x14ac:dyDescent="0.25">
      <c r="A34" t="s">
        <v>28</v>
      </c>
      <c r="B34" t="s">
        <v>52</v>
      </c>
      <c r="C34" t="s">
        <v>811</v>
      </c>
      <c r="D34" t="s">
        <v>812</v>
      </c>
      <c r="E34" t="s">
        <v>16</v>
      </c>
      <c r="F34">
        <v>75.828000000000003</v>
      </c>
      <c r="G34" t="s">
        <v>17</v>
      </c>
      <c r="J34">
        <v>1.28</v>
      </c>
      <c r="K34">
        <v>97.06</v>
      </c>
      <c r="L34" t="s">
        <v>203</v>
      </c>
    </row>
    <row r="35" spans="1:12" x14ac:dyDescent="0.25">
      <c r="A35" t="s">
        <v>28</v>
      </c>
      <c r="B35" t="s">
        <v>246</v>
      </c>
      <c r="C35" t="s">
        <v>769</v>
      </c>
      <c r="D35" t="s">
        <v>770</v>
      </c>
      <c r="E35" t="s">
        <v>16</v>
      </c>
      <c r="F35">
        <v>37.101999999999897</v>
      </c>
      <c r="G35" t="s">
        <v>17</v>
      </c>
      <c r="J35">
        <v>1.28</v>
      </c>
      <c r="K35">
        <v>47.49</v>
      </c>
      <c r="L35" t="s">
        <v>105</v>
      </c>
    </row>
    <row r="36" spans="1:12" x14ac:dyDescent="0.25">
      <c r="A36" t="s">
        <v>32</v>
      </c>
      <c r="B36" t="s">
        <v>788</v>
      </c>
      <c r="C36" t="s">
        <v>789</v>
      </c>
      <c r="D36" t="s">
        <v>790</v>
      </c>
      <c r="E36" t="s">
        <v>636</v>
      </c>
      <c r="F36">
        <v>24.776</v>
      </c>
      <c r="G36" t="s">
        <v>17</v>
      </c>
      <c r="J36">
        <v>0.57999999999999996</v>
      </c>
      <c r="K36">
        <v>14.37</v>
      </c>
      <c r="L36" t="s">
        <v>448</v>
      </c>
    </row>
    <row r="37" spans="1:12" x14ac:dyDescent="0.25">
      <c r="A37" t="s">
        <v>32</v>
      </c>
      <c r="B37" t="s">
        <v>788</v>
      </c>
      <c r="C37" t="s">
        <v>782</v>
      </c>
      <c r="D37" t="s">
        <v>783</v>
      </c>
      <c r="E37" t="s">
        <v>16</v>
      </c>
      <c r="F37">
        <v>72.022999999999897</v>
      </c>
      <c r="G37" t="s">
        <v>17</v>
      </c>
      <c r="J37">
        <v>1.28</v>
      </c>
      <c r="K37">
        <v>92.19</v>
      </c>
      <c r="L37" t="s">
        <v>149</v>
      </c>
    </row>
    <row r="38" spans="1:12" x14ac:dyDescent="0.25">
      <c r="A38" t="s">
        <v>32</v>
      </c>
      <c r="B38" t="s">
        <v>72</v>
      </c>
      <c r="C38" t="s">
        <v>813</v>
      </c>
      <c r="D38" t="s">
        <v>814</v>
      </c>
      <c r="E38" t="s">
        <v>16</v>
      </c>
      <c r="F38">
        <v>73.117000000000004</v>
      </c>
      <c r="G38" t="s">
        <v>17</v>
      </c>
      <c r="J38">
        <v>1.28</v>
      </c>
      <c r="K38">
        <v>93.59</v>
      </c>
      <c r="L38" t="s">
        <v>163</v>
      </c>
    </row>
    <row r="39" spans="1:12" x14ac:dyDescent="0.25">
      <c r="A39" t="s">
        <v>32</v>
      </c>
      <c r="B39" t="s">
        <v>160</v>
      </c>
      <c r="C39" t="s">
        <v>769</v>
      </c>
      <c r="D39" t="s">
        <v>770</v>
      </c>
      <c r="E39" t="s">
        <v>16</v>
      </c>
      <c r="F39">
        <v>67.727000000000004</v>
      </c>
      <c r="G39" t="s">
        <v>17</v>
      </c>
      <c r="J39">
        <v>1.28</v>
      </c>
      <c r="K39">
        <v>86.69</v>
      </c>
      <c r="L39" t="s">
        <v>815</v>
      </c>
    </row>
    <row r="40" spans="1:12" x14ac:dyDescent="0.25">
      <c r="A40" t="s">
        <v>32</v>
      </c>
      <c r="B40" t="s">
        <v>227</v>
      </c>
      <c r="C40" t="s">
        <v>803</v>
      </c>
      <c r="D40" t="s">
        <v>804</v>
      </c>
      <c r="E40" t="s">
        <v>16</v>
      </c>
      <c r="F40">
        <v>74.055000000000007</v>
      </c>
      <c r="G40" t="s">
        <v>17</v>
      </c>
      <c r="J40">
        <v>1.27</v>
      </c>
      <c r="K40">
        <v>94.05</v>
      </c>
      <c r="L40" t="s">
        <v>80</v>
      </c>
    </row>
    <row r="41" spans="1:12" x14ac:dyDescent="0.25">
      <c r="A41" t="s">
        <v>32</v>
      </c>
      <c r="B41" t="s">
        <v>52</v>
      </c>
      <c r="C41" t="s">
        <v>766</v>
      </c>
      <c r="D41" t="s">
        <v>767</v>
      </c>
      <c r="E41" t="s">
        <v>16</v>
      </c>
      <c r="F41">
        <v>42.133000000000003</v>
      </c>
      <c r="G41" t="s">
        <v>17</v>
      </c>
      <c r="J41">
        <v>1.28</v>
      </c>
      <c r="K41">
        <v>53.93</v>
      </c>
      <c r="L41" t="s">
        <v>816</v>
      </c>
    </row>
    <row r="42" spans="1:12" x14ac:dyDescent="0.25">
      <c r="A42" t="s">
        <v>85</v>
      </c>
      <c r="B42" t="s">
        <v>72</v>
      </c>
      <c r="C42" t="s">
        <v>785</v>
      </c>
      <c r="D42" t="s">
        <v>786</v>
      </c>
      <c r="E42" t="s">
        <v>16</v>
      </c>
      <c r="F42">
        <v>53.109000000000002</v>
      </c>
      <c r="G42" t="s">
        <v>17</v>
      </c>
      <c r="J42">
        <v>1.28</v>
      </c>
      <c r="K42">
        <v>67.98</v>
      </c>
      <c r="L42" t="s">
        <v>817</v>
      </c>
    </row>
    <row r="43" spans="1:12" x14ac:dyDescent="0.25">
      <c r="A43" t="s">
        <v>85</v>
      </c>
      <c r="B43" t="s">
        <v>72</v>
      </c>
      <c r="C43" t="s">
        <v>785</v>
      </c>
      <c r="D43" t="s">
        <v>786</v>
      </c>
      <c r="E43" t="s">
        <v>818</v>
      </c>
      <c r="F43">
        <v>1</v>
      </c>
      <c r="G43" t="s">
        <v>152</v>
      </c>
      <c r="J43">
        <v>10.73</v>
      </c>
      <c r="K43">
        <v>10.73</v>
      </c>
      <c r="L43" t="s">
        <v>817</v>
      </c>
    </row>
    <row r="44" spans="1:12" x14ac:dyDescent="0.25">
      <c r="A44" t="s">
        <v>85</v>
      </c>
      <c r="B44" t="s">
        <v>72</v>
      </c>
      <c r="C44" t="s">
        <v>766</v>
      </c>
      <c r="D44" t="s">
        <v>767</v>
      </c>
      <c r="E44" t="s">
        <v>16</v>
      </c>
      <c r="F44">
        <v>54.688000000000002</v>
      </c>
      <c r="G44" t="s">
        <v>17</v>
      </c>
      <c r="J44">
        <v>1.28</v>
      </c>
      <c r="K44">
        <v>70</v>
      </c>
      <c r="L44" t="s">
        <v>48</v>
      </c>
    </row>
    <row r="45" spans="1:12" x14ac:dyDescent="0.25">
      <c r="A45" t="s">
        <v>85</v>
      </c>
      <c r="B45" t="s">
        <v>99</v>
      </c>
      <c r="C45" t="s">
        <v>807</v>
      </c>
      <c r="D45" t="s">
        <v>808</v>
      </c>
      <c r="E45" t="s">
        <v>65</v>
      </c>
      <c r="F45">
        <v>24.712</v>
      </c>
      <c r="G45" t="s">
        <v>17</v>
      </c>
      <c r="J45">
        <v>1.25</v>
      </c>
      <c r="K45">
        <v>30.89</v>
      </c>
      <c r="L45" t="s">
        <v>819</v>
      </c>
    </row>
    <row r="46" spans="1:12" x14ac:dyDescent="0.25">
      <c r="A46" t="s">
        <v>85</v>
      </c>
      <c r="B46" t="s">
        <v>160</v>
      </c>
      <c r="C46" t="s">
        <v>820</v>
      </c>
      <c r="D46" t="s">
        <v>821</v>
      </c>
      <c r="E46" t="s">
        <v>65</v>
      </c>
      <c r="F46">
        <v>44.6</v>
      </c>
      <c r="G46" t="s">
        <v>17</v>
      </c>
      <c r="J46">
        <v>1.25</v>
      </c>
      <c r="K46">
        <v>55.75</v>
      </c>
      <c r="L46" t="s">
        <v>822</v>
      </c>
    </row>
    <row r="47" spans="1:12" x14ac:dyDescent="0.25">
      <c r="A47" t="s">
        <v>85</v>
      </c>
      <c r="B47" t="s">
        <v>52</v>
      </c>
      <c r="C47" t="s">
        <v>793</v>
      </c>
      <c r="D47" t="s">
        <v>794</v>
      </c>
      <c r="E47" t="s">
        <v>16</v>
      </c>
      <c r="F47">
        <v>54.476999999999897</v>
      </c>
      <c r="G47" t="s">
        <v>17</v>
      </c>
      <c r="J47">
        <v>1.28</v>
      </c>
      <c r="K47">
        <v>69.73</v>
      </c>
      <c r="L47" t="s">
        <v>823</v>
      </c>
    </row>
    <row r="48" spans="1:12" x14ac:dyDescent="0.25">
      <c r="A48" t="s">
        <v>118</v>
      </c>
      <c r="B48" t="s">
        <v>72</v>
      </c>
      <c r="C48" t="s">
        <v>764</v>
      </c>
      <c r="D48" t="s">
        <v>765</v>
      </c>
      <c r="E48" t="s">
        <v>16</v>
      </c>
      <c r="F48">
        <v>305.31999999999903</v>
      </c>
      <c r="G48" t="s">
        <v>17</v>
      </c>
      <c r="J48">
        <v>1.28</v>
      </c>
      <c r="K48">
        <v>390.81</v>
      </c>
      <c r="L48" t="s">
        <v>798</v>
      </c>
    </row>
    <row r="49" spans="1:12" x14ac:dyDescent="0.25">
      <c r="A49" t="s">
        <v>118</v>
      </c>
      <c r="B49" t="s">
        <v>72</v>
      </c>
      <c r="C49" t="s">
        <v>774</v>
      </c>
      <c r="D49" t="s">
        <v>775</v>
      </c>
      <c r="E49" t="s">
        <v>16</v>
      </c>
      <c r="F49">
        <v>60.530999999999899</v>
      </c>
      <c r="G49" t="s">
        <v>17</v>
      </c>
      <c r="J49">
        <v>1.28</v>
      </c>
      <c r="K49">
        <v>77.48</v>
      </c>
      <c r="L49" t="s">
        <v>438</v>
      </c>
    </row>
    <row r="50" spans="1:12" x14ac:dyDescent="0.25">
      <c r="A50" t="s">
        <v>118</v>
      </c>
      <c r="B50" t="s">
        <v>72</v>
      </c>
      <c r="C50" t="s">
        <v>766</v>
      </c>
      <c r="D50" t="s">
        <v>767</v>
      </c>
      <c r="E50" t="s">
        <v>16</v>
      </c>
      <c r="F50">
        <v>58.030999999999899</v>
      </c>
      <c r="G50" t="s">
        <v>17</v>
      </c>
      <c r="J50">
        <v>1.28</v>
      </c>
      <c r="K50">
        <v>74.28</v>
      </c>
      <c r="L50" t="s">
        <v>824</v>
      </c>
    </row>
    <row r="51" spans="1:12" x14ac:dyDescent="0.25">
      <c r="A51" t="s">
        <v>118</v>
      </c>
      <c r="B51" t="s">
        <v>625</v>
      </c>
      <c r="C51" t="s">
        <v>772</v>
      </c>
      <c r="D51" t="s">
        <v>773</v>
      </c>
      <c r="E51" t="s">
        <v>16</v>
      </c>
      <c r="F51">
        <v>64.122</v>
      </c>
      <c r="G51" t="s">
        <v>17</v>
      </c>
      <c r="J51">
        <v>1.31</v>
      </c>
      <c r="K51">
        <v>84</v>
      </c>
      <c r="L51" t="s">
        <v>825</v>
      </c>
    </row>
    <row r="52" spans="1:12" x14ac:dyDescent="0.25">
      <c r="A52" t="s">
        <v>118</v>
      </c>
      <c r="B52" t="s">
        <v>119</v>
      </c>
      <c r="C52" t="s">
        <v>778</v>
      </c>
      <c r="D52" t="s">
        <v>779</v>
      </c>
      <c r="E52" t="s">
        <v>65</v>
      </c>
      <c r="F52">
        <v>33.515999999999899</v>
      </c>
      <c r="G52" t="s">
        <v>17</v>
      </c>
      <c r="J52">
        <v>1.24</v>
      </c>
      <c r="K52">
        <v>41.56</v>
      </c>
      <c r="L52" t="s">
        <v>393</v>
      </c>
    </row>
    <row r="53" spans="1:12" x14ac:dyDescent="0.25">
      <c r="A53" t="s">
        <v>118</v>
      </c>
      <c r="B53" t="s">
        <v>119</v>
      </c>
      <c r="C53" t="s">
        <v>778</v>
      </c>
      <c r="D53" t="s">
        <v>779</v>
      </c>
      <c r="E53" t="s">
        <v>185</v>
      </c>
      <c r="F53">
        <v>1</v>
      </c>
      <c r="G53" t="s">
        <v>152</v>
      </c>
      <c r="J53">
        <v>7.92</v>
      </c>
      <c r="K53">
        <v>7.92</v>
      </c>
      <c r="L53" t="s">
        <v>393</v>
      </c>
    </row>
    <row r="54" spans="1:12" x14ac:dyDescent="0.25">
      <c r="A54" t="s">
        <v>118</v>
      </c>
      <c r="B54" t="s">
        <v>826</v>
      </c>
      <c r="C54" t="s">
        <v>820</v>
      </c>
      <c r="D54" t="s">
        <v>821</v>
      </c>
      <c r="E54" t="s">
        <v>65</v>
      </c>
      <c r="F54">
        <v>51.991999999999898</v>
      </c>
      <c r="G54" t="s">
        <v>17</v>
      </c>
      <c r="J54">
        <v>1.25</v>
      </c>
      <c r="K54">
        <v>64.989999999999995</v>
      </c>
      <c r="L54" t="s">
        <v>827</v>
      </c>
    </row>
    <row r="55" spans="1:12" x14ac:dyDescent="0.25">
      <c r="A55" t="s">
        <v>118</v>
      </c>
      <c r="B55" t="s">
        <v>52</v>
      </c>
      <c r="C55" t="s">
        <v>248</v>
      </c>
      <c r="D55" t="s">
        <v>777</v>
      </c>
      <c r="E55" t="s">
        <v>170</v>
      </c>
      <c r="F55">
        <v>58.7319999999999</v>
      </c>
      <c r="G55" t="s">
        <v>17</v>
      </c>
      <c r="J55">
        <v>1.53</v>
      </c>
      <c r="K55">
        <v>89.86</v>
      </c>
      <c r="L55" t="s">
        <v>828</v>
      </c>
    </row>
    <row r="56" spans="1:12" x14ac:dyDescent="0.25">
      <c r="A56" t="s">
        <v>36</v>
      </c>
      <c r="B56" t="s">
        <v>353</v>
      </c>
      <c r="C56" t="s">
        <v>820</v>
      </c>
      <c r="D56" t="s">
        <v>821</v>
      </c>
      <c r="E56" t="s">
        <v>65</v>
      </c>
      <c r="F56">
        <v>56.512</v>
      </c>
      <c r="G56" t="s">
        <v>17</v>
      </c>
      <c r="J56">
        <v>1.25</v>
      </c>
      <c r="K56">
        <v>70.64</v>
      </c>
      <c r="L56" t="s">
        <v>771</v>
      </c>
    </row>
    <row r="57" spans="1:12" x14ac:dyDescent="0.25">
      <c r="A57" t="s">
        <v>36</v>
      </c>
      <c r="B57" t="s">
        <v>797</v>
      </c>
      <c r="C57" t="s">
        <v>772</v>
      </c>
      <c r="D57" t="s">
        <v>773</v>
      </c>
      <c r="E57" t="s">
        <v>16</v>
      </c>
      <c r="F57">
        <v>64.75</v>
      </c>
      <c r="G57" t="s">
        <v>17</v>
      </c>
      <c r="J57">
        <v>1.28</v>
      </c>
      <c r="K57">
        <v>82.88</v>
      </c>
      <c r="L57" t="s">
        <v>829</v>
      </c>
    </row>
    <row r="58" spans="1:12" x14ac:dyDescent="0.25">
      <c r="A58" t="s">
        <v>36</v>
      </c>
      <c r="B58" t="s">
        <v>68</v>
      </c>
      <c r="C58" t="s">
        <v>830</v>
      </c>
      <c r="D58" t="s">
        <v>831</v>
      </c>
      <c r="E58" t="s">
        <v>16</v>
      </c>
      <c r="F58">
        <v>64.772999999999897</v>
      </c>
      <c r="G58" t="s">
        <v>17</v>
      </c>
      <c r="J58">
        <v>1.28</v>
      </c>
      <c r="K58">
        <v>82.91</v>
      </c>
      <c r="L58" t="s">
        <v>202</v>
      </c>
    </row>
    <row r="59" spans="1:12" x14ac:dyDescent="0.25">
      <c r="A59" t="s">
        <v>36</v>
      </c>
      <c r="B59" t="s">
        <v>508</v>
      </c>
      <c r="C59" t="s">
        <v>782</v>
      </c>
      <c r="D59" t="s">
        <v>783</v>
      </c>
      <c r="E59" t="s">
        <v>16</v>
      </c>
      <c r="F59">
        <v>79.117000000000004</v>
      </c>
      <c r="G59" t="s">
        <v>17</v>
      </c>
      <c r="J59">
        <v>1.28</v>
      </c>
      <c r="K59">
        <v>101.27</v>
      </c>
      <c r="L59" t="s">
        <v>832</v>
      </c>
    </row>
    <row r="60" spans="1:12" x14ac:dyDescent="0.25">
      <c r="A60" t="s">
        <v>36</v>
      </c>
      <c r="B60" t="s">
        <v>227</v>
      </c>
      <c r="C60" t="s">
        <v>803</v>
      </c>
      <c r="D60" t="s">
        <v>804</v>
      </c>
      <c r="E60" t="s">
        <v>16</v>
      </c>
      <c r="F60">
        <v>49.465000000000003</v>
      </c>
      <c r="G60" t="s">
        <v>17</v>
      </c>
      <c r="J60">
        <v>1.27</v>
      </c>
      <c r="K60">
        <v>62.82</v>
      </c>
      <c r="L60" t="s">
        <v>771</v>
      </c>
    </row>
    <row r="61" spans="1:12" x14ac:dyDescent="0.25">
      <c r="A61" t="s">
        <v>36</v>
      </c>
      <c r="B61" t="s">
        <v>806</v>
      </c>
      <c r="C61" t="s">
        <v>774</v>
      </c>
      <c r="D61" t="s">
        <v>775</v>
      </c>
      <c r="E61" t="s">
        <v>16</v>
      </c>
      <c r="F61">
        <v>45.953000000000003</v>
      </c>
      <c r="G61" t="s">
        <v>17</v>
      </c>
      <c r="J61">
        <v>1.28</v>
      </c>
      <c r="K61">
        <v>58.82</v>
      </c>
      <c r="L61" t="s">
        <v>156</v>
      </c>
    </row>
    <row r="62" spans="1:12" x14ac:dyDescent="0.25">
      <c r="A62" t="s">
        <v>127</v>
      </c>
      <c r="B62" t="s">
        <v>72</v>
      </c>
      <c r="C62" t="s">
        <v>764</v>
      </c>
      <c r="D62" t="s">
        <v>765</v>
      </c>
      <c r="E62" t="s">
        <v>16</v>
      </c>
      <c r="F62">
        <v>309.75</v>
      </c>
      <c r="G62" t="s">
        <v>17</v>
      </c>
      <c r="J62">
        <v>1.28</v>
      </c>
      <c r="K62">
        <v>396.48</v>
      </c>
      <c r="L62" t="s">
        <v>833</v>
      </c>
    </row>
    <row r="63" spans="1:12" x14ac:dyDescent="0.25">
      <c r="A63" t="s">
        <v>127</v>
      </c>
      <c r="B63" t="s">
        <v>72</v>
      </c>
      <c r="C63" t="s">
        <v>766</v>
      </c>
      <c r="D63" t="s">
        <v>767</v>
      </c>
      <c r="E63" t="s">
        <v>16</v>
      </c>
      <c r="F63">
        <v>40.609000000000002</v>
      </c>
      <c r="G63" t="s">
        <v>17</v>
      </c>
      <c r="J63">
        <v>1.28</v>
      </c>
      <c r="K63">
        <v>51.98</v>
      </c>
      <c r="L63" t="s">
        <v>48</v>
      </c>
    </row>
    <row r="64" spans="1:12" x14ac:dyDescent="0.25">
      <c r="A64" t="s">
        <v>38</v>
      </c>
      <c r="B64" t="s">
        <v>834</v>
      </c>
      <c r="C64" t="s">
        <v>772</v>
      </c>
      <c r="D64" t="s">
        <v>773</v>
      </c>
      <c r="E64" t="s">
        <v>16</v>
      </c>
      <c r="F64">
        <v>80.260000000000005</v>
      </c>
      <c r="G64" t="s">
        <v>17</v>
      </c>
      <c r="J64">
        <v>1.31</v>
      </c>
      <c r="K64">
        <v>105.14</v>
      </c>
      <c r="L64" t="s">
        <v>835</v>
      </c>
    </row>
    <row r="65" spans="1:12" x14ac:dyDescent="0.25">
      <c r="A65" t="s">
        <v>38</v>
      </c>
      <c r="B65" t="s">
        <v>119</v>
      </c>
      <c r="C65" t="s">
        <v>778</v>
      </c>
      <c r="D65" t="s">
        <v>779</v>
      </c>
      <c r="E65" t="s">
        <v>65</v>
      </c>
      <c r="F65">
        <v>24.952000000000002</v>
      </c>
      <c r="G65" t="s">
        <v>17</v>
      </c>
      <c r="J65">
        <v>1.24</v>
      </c>
      <c r="K65">
        <v>30.94</v>
      </c>
      <c r="L65" t="s">
        <v>322</v>
      </c>
    </row>
    <row r="66" spans="1:12" x14ac:dyDescent="0.25">
      <c r="A66" t="s">
        <v>38</v>
      </c>
      <c r="B66" t="s">
        <v>87</v>
      </c>
      <c r="C66" t="s">
        <v>769</v>
      </c>
      <c r="D66" t="s">
        <v>770</v>
      </c>
      <c r="E66" t="s">
        <v>16</v>
      </c>
      <c r="F66">
        <v>63.899999999999899</v>
      </c>
      <c r="G66" t="s">
        <v>17</v>
      </c>
      <c r="J66">
        <v>1.3</v>
      </c>
      <c r="K66">
        <v>83.07</v>
      </c>
      <c r="L66" t="s">
        <v>393</v>
      </c>
    </row>
    <row r="67" spans="1:12" x14ac:dyDescent="0.25">
      <c r="A67" t="s">
        <v>101</v>
      </c>
      <c r="B67" t="s">
        <v>788</v>
      </c>
      <c r="C67" t="s">
        <v>789</v>
      </c>
      <c r="D67" t="s">
        <v>790</v>
      </c>
      <c r="E67" t="s">
        <v>65</v>
      </c>
      <c r="F67">
        <v>38.311999999999898</v>
      </c>
      <c r="G67" t="s">
        <v>17</v>
      </c>
      <c r="J67">
        <v>1.25</v>
      </c>
      <c r="K67">
        <v>47.89</v>
      </c>
      <c r="L67" t="s">
        <v>836</v>
      </c>
    </row>
    <row r="68" spans="1:12" x14ac:dyDescent="0.25">
      <c r="A68" t="s">
        <v>101</v>
      </c>
      <c r="B68" t="s">
        <v>788</v>
      </c>
      <c r="C68" t="s">
        <v>789</v>
      </c>
      <c r="D68" t="s">
        <v>790</v>
      </c>
      <c r="E68" t="s">
        <v>636</v>
      </c>
      <c r="F68">
        <v>21.896999999999899</v>
      </c>
      <c r="G68" t="s">
        <v>17</v>
      </c>
      <c r="J68">
        <v>0.57999999999999996</v>
      </c>
      <c r="K68">
        <v>12.7</v>
      </c>
      <c r="L68" t="s">
        <v>836</v>
      </c>
    </row>
    <row r="69" spans="1:12" x14ac:dyDescent="0.25">
      <c r="A69" t="s">
        <v>101</v>
      </c>
      <c r="B69" t="s">
        <v>68</v>
      </c>
      <c r="C69" t="s">
        <v>807</v>
      </c>
      <c r="D69" t="s">
        <v>808</v>
      </c>
      <c r="E69" t="s">
        <v>65</v>
      </c>
      <c r="F69">
        <v>30.8479999999999</v>
      </c>
      <c r="G69" t="s">
        <v>17</v>
      </c>
      <c r="J69">
        <v>1.25</v>
      </c>
      <c r="K69">
        <v>38.56</v>
      </c>
      <c r="L69" t="s">
        <v>189</v>
      </c>
    </row>
    <row r="70" spans="1:12" x14ac:dyDescent="0.25">
      <c r="A70" t="s">
        <v>101</v>
      </c>
      <c r="B70" t="s">
        <v>72</v>
      </c>
      <c r="C70" t="s">
        <v>766</v>
      </c>
      <c r="D70" t="s">
        <v>767</v>
      </c>
      <c r="E70" t="s">
        <v>16</v>
      </c>
      <c r="F70">
        <v>46.1009999999999</v>
      </c>
      <c r="G70" t="s">
        <v>17</v>
      </c>
      <c r="J70">
        <v>1.29</v>
      </c>
      <c r="K70">
        <v>59.47</v>
      </c>
      <c r="L70" t="s">
        <v>837</v>
      </c>
    </row>
    <row r="71" spans="1:12" x14ac:dyDescent="0.25">
      <c r="A71" t="s">
        <v>101</v>
      </c>
      <c r="B71" t="s">
        <v>838</v>
      </c>
      <c r="C71" t="s">
        <v>782</v>
      </c>
      <c r="D71" t="s">
        <v>783</v>
      </c>
      <c r="E71" t="s">
        <v>16</v>
      </c>
      <c r="F71">
        <v>73.744</v>
      </c>
      <c r="G71" t="s">
        <v>17</v>
      </c>
      <c r="J71">
        <v>1.29</v>
      </c>
      <c r="K71">
        <v>95.13</v>
      </c>
      <c r="L71" t="s">
        <v>839</v>
      </c>
    </row>
    <row r="72" spans="1:12" x14ac:dyDescent="0.25">
      <c r="A72" t="s">
        <v>101</v>
      </c>
      <c r="B72" t="s">
        <v>227</v>
      </c>
      <c r="C72" t="s">
        <v>803</v>
      </c>
      <c r="D72" t="s">
        <v>804</v>
      </c>
      <c r="E72" t="s">
        <v>16</v>
      </c>
      <c r="F72">
        <v>52.68</v>
      </c>
      <c r="G72" t="s">
        <v>17</v>
      </c>
      <c r="J72">
        <v>1.28</v>
      </c>
      <c r="K72">
        <v>67.430000000000007</v>
      </c>
      <c r="L72" t="s">
        <v>840</v>
      </c>
    </row>
    <row r="73" spans="1:12" x14ac:dyDescent="0.25">
      <c r="A73" t="s">
        <v>101</v>
      </c>
      <c r="B73" t="s">
        <v>791</v>
      </c>
      <c r="C73" t="s">
        <v>772</v>
      </c>
      <c r="D73" t="s">
        <v>773</v>
      </c>
      <c r="E73" t="s">
        <v>16</v>
      </c>
      <c r="F73">
        <v>62.387999999999899</v>
      </c>
      <c r="G73" t="s">
        <v>17</v>
      </c>
      <c r="J73">
        <v>1.29</v>
      </c>
      <c r="K73">
        <v>80.48</v>
      </c>
      <c r="L73" t="s">
        <v>841</v>
      </c>
    </row>
    <row r="74" spans="1:12" x14ac:dyDescent="0.25">
      <c r="A74" t="s">
        <v>101</v>
      </c>
      <c r="B74" t="s">
        <v>260</v>
      </c>
      <c r="C74" t="s">
        <v>764</v>
      </c>
      <c r="D74" t="s">
        <v>765</v>
      </c>
      <c r="E74" t="s">
        <v>16</v>
      </c>
      <c r="F74">
        <v>327.21699999999902</v>
      </c>
      <c r="G74" t="s">
        <v>17</v>
      </c>
      <c r="J74">
        <v>1.29</v>
      </c>
      <c r="K74">
        <v>422.11</v>
      </c>
      <c r="L74" t="s">
        <v>842</v>
      </c>
    </row>
    <row r="75" spans="1:12" x14ac:dyDescent="0.25">
      <c r="A75" t="s">
        <v>101</v>
      </c>
      <c r="B75" t="s">
        <v>144</v>
      </c>
      <c r="C75" t="s">
        <v>248</v>
      </c>
      <c r="D75" t="s">
        <v>777</v>
      </c>
      <c r="E75" t="s">
        <v>170</v>
      </c>
      <c r="F75">
        <v>23.428999999999899</v>
      </c>
      <c r="G75" t="s">
        <v>17</v>
      </c>
      <c r="J75">
        <v>1.56</v>
      </c>
      <c r="K75">
        <v>36.549999999999997</v>
      </c>
      <c r="L75" t="s">
        <v>649</v>
      </c>
    </row>
    <row r="76" spans="1:12" x14ac:dyDescent="0.25">
      <c r="A76" t="s">
        <v>41</v>
      </c>
      <c r="B76" t="s">
        <v>843</v>
      </c>
      <c r="C76" t="s">
        <v>769</v>
      </c>
      <c r="D76" t="s">
        <v>770</v>
      </c>
      <c r="E76" t="s">
        <v>16</v>
      </c>
      <c r="F76">
        <v>52.735999999999898</v>
      </c>
      <c r="G76" t="s">
        <v>17</v>
      </c>
      <c r="J76">
        <v>1.29</v>
      </c>
      <c r="K76">
        <v>68.03</v>
      </c>
      <c r="L76" t="s">
        <v>844</v>
      </c>
    </row>
    <row r="77" spans="1:12" x14ac:dyDescent="0.25">
      <c r="A77" t="s">
        <v>41</v>
      </c>
      <c r="B77" t="s">
        <v>68</v>
      </c>
      <c r="C77" t="s">
        <v>845</v>
      </c>
      <c r="D77" t="s">
        <v>846</v>
      </c>
      <c r="E77" t="s">
        <v>16</v>
      </c>
      <c r="F77">
        <v>64.1009999999999</v>
      </c>
      <c r="G77" t="s">
        <v>17</v>
      </c>
      <c r="J77">
        <v>1.29</v>
      </c>
      <c r="K77">
        <v>82.69</v>
      </c>
      <c r="L77" t="s">
        <v>847</v>
      </c>
    </row>
    <row r="78" spans="1:12" x14ac:dyDescent="0.25">
      <c r="A78" t="s">
        <v>41</v>
      </c>
      <c r="B78" t="s">
        <v>72</v>
      </c>
      <c r="C78" t="s">
        <v>766</v>
      </c>
      <c r="D78" t="s">
        <v>767</v>
      </c>
      <c r="E78" t="s">
        <v>16</v>
      </c>
      <c r="F78">
        <v>51.790999999999897</v>
      </c>
      <c r="G78" t="s">
        <v>17</v>
      </c>
      <c r="J78">
        <v>1.29</v>
      </c>
      <c r="K78">
        <v>66.81</v>
      </c>
      <c r="L78" t="s">
        <v>221</v>
      </c>
    </row>
    <row r="79" spans="1:12" x14ac:dyDescent="0.25">
      <c r="A79" t="s">
        <v>41</v>
      </c>
      <c r="B79" t="s">
        <v>848</v>
      </c>
      <c r="C79" t="s">
        <v>248</v>
      </c>
      <c r="D79" t="s">
        <v>777</v>
      </c>
      <c r="E79" t="s">
        <v>16</v>
      </c>
      <c r="F79">
        <v>71.302000000000007</v>
      </c>
      <c r="G79" t="s">
        <v>17</v>
      </c>
      <c r="J79">
        <v>1.29</v>
      </c>
      <c r="K79">
        <v>91.98</v>
      </c>
      <c r="L79" t="s">
        <v>578</v>
      </c>
    </row>
    <row r="80" spans="1:12" x14ac:dyDescent="0.25">
      <c r="A80" t="s">
        <v>41</v>
      </c>
      <c r="B80" t="s">
        <v>52</v>
      </c>
      <c r="C80" t="s">
        <v>813</v>
      </c>
      <c r="D80" t="s">
        <v>814</v>
      </c>
      <c r="E80" t="s">
        <v>16</v>
      </c>
      <c r="F80">
        <v>67.573999999999899</v>
      </c>
      <c r="G80" t="s">
        <v>17</v>
      </c>
      <c r="J80">
        <v>1.29</v>
      </c>
      <c r="K80">
        <v>87.17</v>
      </c>
      <c r="L80" t="s">
        <v>709</v>
      </c>
    </row>
    <row r="81" spans="1:12" x14ac:dyDescent="0.25">
      <c r="A81" t="s">
        <v>41</v>
      </c>
      <c r="B81" t="s">
        <v>52</v>
      </c>
      <c r="C81" t="s">
        <v>793</v>
      </c>
      <c r="D81" t="s">
        <v>794</v>
      </c>
      <c r="E81" t="s">
        <v>16</v>
      </c>
      <c r="F81">
        <v>59.402999999999899</v>
      </c>
      <c r="G81" t="s">
        <v>17</v>
      </c>
      <c r="J81">
        <v>1.29</v>
      </c>
      <c r="K81">
        <v>76.63</v>
      </c>
      <c r="L81" t="s">
        <v>626</v>
      </c>
    </row>
    <row r="82" spans="1:12" x14ac:dyDescent="0.25">
      <c r="A82" t="s">
        <v>43</v>
      </c>
      <c r="B82" t="s">
        <v>788</v>
      </c>
      <c r="C82" t="s">
        <v>778</v>
      </c>
      <c r="D82" t="s">
        <v>779</v>
      </c>
      <c r="E82" t="s">
        <v>65</v>
      </c>
      <c r="F82">
        <v>31.332999999999899</v>
      </c>
      <c r="G82" t="s">
        <v>17</v>
      </c>
      <c r="J82">
        <v>1.26</v>
      </c>
      <c r="K82">
        <v>39.479999999999997</v>
      </c>
      <c r="L82" t="s">
        <v>334</v>
      </c>
    </row>
    <row r="83" spans="1:12" x14ac:dyDescent="0.25">
      <c r="A83" t="s">
        <v>43</v>
      </c>
      <c r="B83" t="s">
        <v>508</v>
      </c>
      <c r="C83" t="s">
        <v>782</v>
      </c>
      <c r="D83" t="s">
        <v>783</v>
      </c>
      <c r="E83" t="s">
        <v>16</v>
      </c>
      <c r="F83">
        <v>82.254000000000005</v>
      </c>
      <c r="G83" t="s">
        <v>17</v>
      </c>
      <c r="J83">
        <v>1.3</v>
      </c>
      <c r="K83">
        <v>106.93</v>
      </c>
      <c r="L83" t="s">
        <v>849</v>
      </c>
    </row>
    <row r="84" spans="1:12" x14ac:dyDescent="0.25">
      <c r="A84" t="s">
        <v>43</v>
      </c>
      <c r="B84" t="s">
        <v>227</v>
      </c>
      <c r="C84" t="s">
        <v>803</v>
      </c>
      <c r="D84" t="s">
        <v>804</v>
      </c>
      <c r="E84" t="s">
        <v>16</v>
      </c>
      <c r="F84">
        <v>54.906999999999897</v>
      </c>
      <c r="G84" t="s">
        <v>17</v>
      </c>
      <c r="J84">
        <v>1.29</v>
      </c>
      <c r="K84">
        <v>70.83</v>
      </c>
      <c r="L84" t="s">
        <v>850</v>
      </c>
    </row>
    <row r="85" spans="1:12" x14ac:dyDescent="0.25">
      <c r="A85" t="s">
        <v>43</v>
      </c>
      <c r="B85" t="s">
        <v>625</v>
      </c>
      <c r="C85" t="s">
        <v>772</v>
      </c>
      <c r="D85" t="s">
        <v>773</v>
      </c>
      <c r="E85" t="s">
        <v>16</v>
      </c>
      <c r="F85">
        <v>60.692</v>
      </c>
      <c r="G85" t="s">
        <v>17</v>
      </c>
      <c r="J85">
        <v>1.33</v>
      </c>
      <c r="K85">
        <v>80.72</v>
      </c>
      <c r="L85" t="s">
        <v>851</v>
      </c>
    </row>
    <row r="86" spans="1:12" x14ac:dyDescent="0.25">
      <c r="A86" t="s">
        <v>43</v>
      </c>
      <c r="B86" t="s">
        <v>348</v>
      </c>
      <c r="C86" t="s">
        <v>764</v>
      </c>
      <c r="D86" t="s">
        <v>765</v>
      </c>
      <c r="E86" t="s">
        <v>16</v>
      </c>
      <c r="F86">
        <v>331.93099999999902</v>
      </c>
      <c r="G86" t="s">
        <v>17</v>
      </c>
      <c r="J86">
        <v>1.3</v>
      </c>
      <c r="K86">
        <v>431.51</v>
      </c>
      <c r="L86" t="s">
        <v>852</v>
      </c>
    </row>
    <row r="87" spans="1:12" x14ac:dyDescent="0.25">
      <c r="A87" t="s">
        <v>43</v>
      </c>
      <c r="B87" t="s">
        <v>52</v>
      </c>
      <c r="C87" t="s">
        <v>766</v>
      </c>
      <c r="D87" t="s">
        <v>767</v>
      </c>
      <c r="E87" t="s">
        <v>16</v>
      </c>
      <c r="F87">
        <v>44.122999999999898</v>
      </c>
      <c r="G87" t="s">
        <v>17</v>
      </c>
      <c r="J87">
        <v>1.3</v>
      </c>
      <c r="K87">
        <v>57.36</v>
      </c>
      <c r="L87" t="s">
        <v>139</v>
      </c>
    </row>
    <row r="88" spans="1:12" x14ac:dyDescent="0.25">
      <c r="A88" t="s">
        <v>91</v>
      </c>
      <c r="B88" t="s">
        <v>72</v>
      </c>
      <c r="C88" t="s">
        <v>774</v>
      </c>
      <c r="D88" t="s">
        <v>775</v>
      </c>
      <c r="E88" t="s">
        <v>16</v>
      </c>
      <c r="F88">
        <v>67.131</v>
      </c>
      <c r="G88" t="s">
        <v>17</v>
      </c>
      <c r="J88">
        <v>1.3</v>
      </c>
      <c r="K88">
        <v>87.27</v>
      </c>
      <c r="L88" t="s">
        <v>853</v>
      </c>
    </row>
    <row r="89" spans="1:12" x14ac:dyDescent="0.25">
      <c r="A89" t="s">
        <v>91</v>
      </c>
      <c r="B89" t="s">
        <v>625</v>
      </c>
      <c r="C89" t="s">
        <v>772</v>
      </c>
      <c r="D89" t="s">
        <v>773</v>
      </c>
      <c r="E89" t="s">
        <v>16</v>
      </c>
      <c r="F89">
        <v>62.331000000000003</v>
      </c>
      <c r="G89" t="s">
        <v>17</v>
      </c>
      <c r="J89">
        <v>1.33</v>
      </c>
      <c r="K89">
        <v>82.9</v>
      </c>
      <c r="L89" t="s">
        <v>854</v>
      </c>
    </row>
    <row r="90" spans="1:12" x14ac:dyDescent="0.25">
      <c r="A90" t="s">
        <v>91</v>
      </c>
      <c r="B90" t="s">
        <v>404</v>
      </c>
      <c r="C90" t="s">
        <v>807</v>
      </c>
      <c r="D90" t="s">
        <v>808</v>
      </c>
      <c r="E90" t="s">
        <v>65</v>
      </c>
      <c r="F90">
        <v>28.794</v>
      </c>
      <c r="G90" t="s">
        <v>17</v>
      </c>
      <c r="J90">
        <v>1.26</v>
      </c>
      <c r="K90">
        <v>36.28</v>
      </c>
      <c r="L90" t="s">
        <v>855</v>
      </c>
    </row>
    <row r="91" spans="1:12" x14ac:dyDescent="0.25">
      <c r="A91" t="s">
        <v>45</v>
      </c>
      <c r="B91" t="s">
        <v>788</v>
      </c>
      <c r="C91" t="s">
        <v>778</v>
      </c>
      <c r="D91" t="s">
        <v>779</v>
      </c>
      <c r="E91" t="s">
        <v>65</v>
      </c>
      <c r="F91">
        <v>20.937000000000001</v>
      </c>
      <c r="G91" t="s">
        <v>17</v>
      </c>
      <c r="J91">
        <v>1.26</v>
      </c>
      <c r="K91">
        <v>26.38</v>
      </c>
      <c r="L91" t="s">
        <v>637</v>
      </c>
    </row>
    <row r="92" spans="1:12" x14ac:dyDescent="0.25">
      <c r="A92" t="s">
        <v>45</v>
      </c>
      <c r="B92" t="s">
        <v>72</v>
      </c>
      <c r="C92" t="s">
        <v>766</v>
      </c>
      <c r="D92" t="s">
        <v>767</v>
      </c>
      <c r="E92" t="s">
        <v>16</v>
      </c>
      <c r="F92">
        <v>47.076999999999899</v>
      </c>
      <c r="G92" t="s">
        <v>17</v>
      </c>
      <c r="J92">
        <v>1.3</v>
      </c>
      <c r="K92">
        <v>61.2</v>
      </c>
      <c r="L92" t="s">
        <v>856</v>
      </c>
    </row>
    <row r="93" spans="1:12" x14ac:dyDescent="0.25">
      <c r="A93" t="s">
        <v>45</v>
      </c>
      <c r="B93" t="s">
        <v>72</v>
      </c>
      <c r="C93" t="s">
        <v>248</v>
      </c>
      <c r="D93" t="s">
        <v>777</v>
      </c>
      <c r="E93" t="s">
        <v>170</v>
      </c>
      <c r="F93">
        <v>49.581000000000003</v>
      </c>
      <c r="G93" t="s">
        <v>17</v>
      </c>
      <c r="J93">
        <v>1.55</v>
      </c>
      <c r="K93">
        <v>76.849999999999994</v>
      </c>
      <c r="L93" t="s">
        <v>857</v>
      </c>
    </row>
    <row r="94" spans="1:12" x14ac:dyDescent="0.25">
      <c r="A94" t="s">
        <v>45</v>
      </c>
      <c r="B94" t="s">
        <v>227</v>
      </c>
      <c r="C94" t="s">
        <v>803</v>
      </c>
      <c r="D94" t="s">
        <v>804</v>
      </c>
      <c r="E94" t="s">
        <v>16</v>
      </c>
      <c r="F94">
        <v>59.612000000000002</v>
      </c>
      <c r="G94" t="s">
        <v>17</v>
      </c>
      <c r="J94">
        <v>1.29</v>
      </c>
      <c r="K94">
        <v>76.900000000000006</v>
      </c>
      <c r="L94" t="s">
        <v>335</v>
      </c>
    </row>
    <row r="95" spans="1:12" x14ac:dyDescent="0.25">
      <c r="A95" t="s">
        <v>45</v>
      </c>
      <c r="B95" t="s">
        <v>62</v>
      </c>
      <c r="C95" t="s">
        <v>789</v>
      </c>
      <c r="D95" t="s">
        <v>790</v>
      </c>
      <c r="E95" t="s">
        <v>65</v>
      </c>
      <c r="F95">
        <v>10.218</v>
      </c>
      <c r="G95" t="s">
        <v>17</v>
      </c>
      <c r="J95">
        <v>1.24</v>
      </c>
      <c r="K95">
        <v>12.67</v>
      </c>
      <c r="L95" t="s">
        <v>858</v>
      </c>
    </row>
    <row r="96" spans="1:12" x14ac:dyDescent="0.25">
      <c r="A96" t="s">
        <v>45</v>
      </c>
      <c r="B96" t="s">
        <v>791</v>
      </c>
      <c r="C96" t="s">
        <v>772</v>
      </c>
      <c r="D96" t="s">
        <v>773</v>
      </c>
      <c r="E96" t="s">
        <v>16</v>
      </c>
      <c r="F96">
        <v>28.408000000000001</v>
      </c>
      <c r="G96" t="s">
        <v>17</v>
      </c>
      <c r="J96">
        <v>1.3</v>
      </c>
      <c r="K96">
        <v>36.93</v>
      </c>
      <c r="L96" t="s">
        <v>618</v>
      </c>
    </row>
    <row r="97" spans="6:6" x14ac:dyDescent="0.25">
      <c r="F97" s="1">
        <f>SUM(F2:F52,F54:F96)</f>
        <v>6695.3149999999923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L11"/>
  <sheetViews>
    <sheetView workbookViewId="0">
      <selection activeCell="K13" sqref="K13"/>
    </sheetView>
  </sheetViews>
  <sheetFormatPr defaultRowHeight="15" x14ac:dyDescent="0.25"/>
  <cols>
    <col min="1" max="1" width="10.42578125" bestFit="1" customWidth="1"/>
    <col min="2" max="2" width="27.140625" bestFit="1" customWidth="1"/>
    <col min="3" max="3" width="8.5703125" bestFit="1" customWidth="1"/>
    <col min="4" max="4" width="18.28515625" bestFit="1" customWidth="1"/>
    <col min="5" max="5" width="22.8554687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72</v>
      </c>
      <c r="C2" t="s">
        <v>859</v>
      </c>
      <c r="D2" t="s">
        <v>860</v>
      </c>
      <c r="E2" t="s">
        <v>16</v>
      </c>
      <c r="F2">
        <v>60.991999999999898</v>
      </c>
      <c r="G2" t="s">
        <v>17</v>
      </c>
      <c r="H2">
        <v>1.1599999999999999</v>
      </c>
      <c r="I2" s="2">
        <f>F2*H2</f>
        <v>70.750719999999873</v>
      </c>
      <c r="J2">
        <v>1.28</v>
      </c>
      <c r="K2">
        <v>78.069999999999993</v>
      </c>
      <c r="L2" t="s">
        <v>861</v>
      </c>
    </row>
    <row r="3" spans="1:12" x14ac:dyDescent="0.25">
      <c r="A3" t="s">
        <v>19</v>
      </c>
      <c r="B3" t="s">
        <v>72</v>
      </c>
      <c r="C3" t="s">
        <v>862</v>
      </c>
      <c r="D3" t="s">
        <v>863</v>
      </c>
      <c r="E3" t="s">
        <v>16</v>
      </c>
      <c r="F3">
        <v>41.398000000000003</v>
      </c>
      <c r="G3" t="s">
        <v>17</v>
      </c>
      <c r="H3">
        <v>1.1599999999999999</v>
      </c>
      <c r="I3" s="2">
        <f>F3*H3</f>
        <v>48.021680000000003</v>
      </c>
      <c r="J3">
        <v>1.28</v>
      </c>
      <c r="K3">
        <v>52.99</v>
      </c>
      <c r="L3" t="s">
        <v>469</v>
      </c>
    </row>
    <row r="4" spans="1:12" x14ac:dyDescent="0.25">
      <c r="A4" t="s">
        <v>32</v>
      </c>
      <c r="B4" t="s">
        <v>227</v>
      </c>
      <c r="C4" t="s">
        <v>864</v>
      </c>
      <c r="D4" t="s">
        <v>865</v>
      </c>
      <c r="E4" t="s">
        <v>16</v>
      </c>
      <c r="F4">
        <v>48.125999999999898</v>
      </c>
      <c r="G4" t="s">
        <v>17</v>
      </c>
      <c r="H4">
        <v>1.1599999999999999</v>
      </c>
      <c r="I4" s="2">
        <f t="shared" ref="I4:I10" si="0">F4*H4</f>
        <v>55.826159999999881</v>
      </c>
      <c r="J4">
        <v>1.27</v>
      </c>
      <c r="K4">
        <v>61.12</v>
      </c>
      <c r="L4" t="s">
        <v>453</v>
      </c>
    </row>
    <row r="5" spans="1:12" x14ac:dyDescent="0.25">
      <c r="A5" t="s">
        <v>241</v>
      </c>
      <c r="B5" t="s">
        <v>72</v>
      </c>
      <c r="C5" t="s">
        <v>859</v>
      </c>
      <c r="D5" t="s">
        <v>860</v>
      </c>
      <c r="E5" t="s">
        <v>16</v>
      </c>
      <c r="F5">
        <v>59.219000000000001</v>
      </c>
      <c r="G5" t="s">
        <v>17</v>
      </c>
      <c r="H5">
        <v>1.1599999999999999</v>
      </c>
      <c r="I5" s="2">
        <f t="shared" si="0"/>
        <v>68.694040000000001</v>
      </c>
      <c r="J5">
        <v>1.28</v>
      </c>
      <c r="K5">
        <v>75.8</v>
      </c>
      <c r="L5" t="s">
        <v>847</v>
      </c>
    </row>
    <row r="6" spans="1:12" x14ac:dyDescent="0.25">
      <c r="A6" t="s">
        <v>85</v>
      </c>
      <c r="B6" t="s">
        <v>68</v>
      </c>
      <c r="C6" t="s">
        <v>862</v>
      </c>
      <c r="D6" t="s">
        <v>863</v>
      </c>
      <c r="E6" t="s">
        <v>16</v>
      </c>
      <c r="F6">
        <v>38.078000000000003</v>
      </c>
      <c r="G6" t="s">
        <v>17</v>
      </c>
      <c r="H6">
        <v>1.1599999999999999</v>
      </c>
      <c r="I6" s="2">
        <f t="shared" si="0"/>
        <v>44.170479999999998</v>
      </c>
      <c r="J6">
        <v>1.28</v>
      </c>
      <c r="K6">
        <v>48.74</v>
      </c>
      <c r="L6" t="s">
        <v>866</v>
      </c>
    </row>
    <row r="7" spans="1:12" x14ac:dyDescent="0.25">
      <c r="A7" t="s">
        <v>180</v>
      </c>
      <c r="B7" t="s">
        <v>72</v>
      </c>
      <c r="C7" t="s">
        <v>862</v>
      </c>
      <c r="D7" t="s">
        <v>863</v>
      </c>
      <c r="E7" t="s">
        <v>16</v>
      </c>
      <c r="F7">
        <v>39.953000000000003</v>
      </c>
      <c r="G7" t="s">
        <v>17</v>
      </c>
      <c r="H7">
        <v>1.17</v>
      </c>
      <c r="I7" s="2">
        <f t="shared" si="0"/>
        <v>46.745010000000001</v>
      </c>
      <c r="J7">
        <v>1.29</v>
      </c>
      <c r="K7">
        <v>51.54</v>
      </c>
      <c r="L7" t="s">
        <v>867</v>
      </c>
    </row>
    <row r="8" spans="1:12" x14ac:dyDescent="0.25">
      <c r="A8" t="s">
        <v>41</v>
      </c>
      <c r="B8" t="s">
        <v>72</v>
      </c>
      <c r="C8" t="s">
        <v>859</v>
      </c>
      <c r="D8" t="s">
        <v>860</v>
      </c>
      <c r="E8" t="s">
        <v>16</v>
      </c>
      <c r="F8">
        <v>59.457000000000001</v>
      </c>
      <c r="G8" t="s">
        <v>17</v>
      </c>
      <c r="H8">
        <v>1.17</v>
      </c>
      <c r="I8" s="2">
        <f t="shared" si="0"/>
        <v>69.564689999999999</v>
      </c>
      <c r="J8">
        <v>1.29</v>
      </c>
      <c r="K8">
        <v>76.7</v>
      </c>
      <c r="L8" t="s">
        <v>868</v>
      </c>
    </row>
    <row r="9" spans="1:12" x14ac:dyDescent="0.25">
      <c r="A9" t="s">
        <v>91</v>
      </c>
      <c r="B9" t="s">
        <v>68</v>
      </c>
      <c r="C9" t="s">
        <v>862</v>
      </c>
      <c r="D9" t="s">
        <v>863</v>
      </c>
      <c r="E9" t="s">
        <v>170</v>
      </c>
      <c r="F9">
        <v>38.832000000000001</v>
      </c>
      <c r="G9" t="s">
        <v>17</v>
      </c>
      <c r="H9">
        <v>1.37</v>
      </c>
      <c r="I9" s="2">
        <f t="shared" si="0"/>
        <v>53.199840000000002</v>
      </c>
      <c r="J9">
        <v>1.55</v>
      </c>
      <c r="K9">
        <v>60.19</v>
      </c>
      <c r="L9" t="s">
        <v>869</v>
      </c>
    </row>
    <row r="10" spans="1:12" x14ac:dyDescent="0.25">
      <c r="A10" t="s">
        <v>45</v>
      </c>
      <c r="B10" t="s">
        <v>227</v>
      </c>
      <c r="C10" t="s">
        <v>864</v>
      </c>
      <c r="D10" t="s">
        <v>865</v>
      </c>
      <c r="E10" t="s">
        <v>16</v>
      </c>
      <c r="F10">
        <v>45.31</v>
      </c>
      <c r="G10" t="s">
        <v>17</v>
      </c>
      <c r="H10">
        <v>1.17</v>
      </c>
      <c r="I10" s="2">
        <f t="shared" si="0"/>
        <v>53.012700000000002</v>
      </c>
      <c r="J10">
        <v>1.29</v>
      </c>
      <c r="K10">
        <v>58.45</v>
      </c>
      <c r="L10" t="s">
        <v>870</v>
      </c>
    </row>
    <row r="11" spans="1:12" x14ac:dyDescent="0.25">
      <c r="F11" s="1">
        <f>SUM(F2:F10)</f>
        <v>431.36499999999978</v>
      </c>
      <c r="I11" s="3">
        <f>SUM(I2:I10)</f>
        <v>509.98531999999972</v>
      </c>
      <c r="K11" s="1">
        <f>SUM(K2:K10)</f>
        <v>563.6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L7"/>
  <sheetViews>
    <sheetView workbookViewId="0">
      <selection activeCell="K19" sqref="K19"/>
    </sheetView>
  </sheetViews>
  <sheetFormatPr defaultRowHeight="15" x14ac:dyDescent="0.25"/>
  <cols>
    <col min="1" max="1" width="10.42578125" bestFit="1" customWidth="1"/>
    <col min="2" max="2" width="32" bestFit="1" customWidth="1"/>
    <col min="3" max="3" width="8.85546875" bestFit="1" customWidth="1"/>
    <col min="4" max="4" width="18.28515625" bestFit="1" customWidth="1"/>
    <col min="5" max="5" width="22.85546875" bestFit="1" customWidth="1"/>
    <col min="6" max="6" width="9.85546875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195</v>
      </c>
      <c r="B2" t="s">
        <v>72</v>
      </c>
      <c r="C2" t="s">
        <v>871</v>
      </c>
      <c r="D2" t="s">
        <v>872</v>
      </c>
      <c r="E2" t="s">
        <v>65</v>
      </c>
      <c r="F2">
        <v>40.8479999999999</v>
      </c>
      <c r="G2" t="s">
        <v>17</v>
      </c>
      <c r="H2">
        <v>1.1599999999999999</v>
      </c>
      <c r="I2" s="2">
        <f>F2*H2</f>
        <v>47.383679999999877</v>
      </c>
      <c r="J2">
        <v>1.25</v>
      </c>
      <c r="K2">
        <v>51.06</v>
      </c>
      <c r="L2" t="s">
        <v>250</v>
      </c>
    </row>
    <row r="3" spans="1:12" x14ac:dyDescent="0.25">
      <c r="A3" t="s">
        <v>28</v>
      </c>
      <c r="B3" t="s">
        <v>72</v>
      </c>
      <c r="C3" t="s">
        <v>871</v>
      </c>
      <c r="D3" t="s">
        <v>872</v>
      </c>
      <c r="E3" t="s">
        <v>65</v>
      </c>
      <c r="F3">
        <v>37.200000000000003</v>
      </c>
      <c r="G3" t="s">
        <v>17</v>
      </c>
      <c r="H3">
        <v>1.1599999999999999</v>
      </c>
      <c r="I3" s="2">
        <f t="shared" ref="I3:I6" si="0">F3*H3</f>
        <v>43.152000000000001</v>
      </c>
      <c r="J3">
        <v>1.25</v>
      </c>
      <c r="K3">
        <v>46.5</v>
      </c>
      <c r="L3" t="s">
        <v>873</v>
      </c>
    </row>
    <row r="4" spans="1:12" x14ac:dyDescent="0.25">
      <c r="A4" t="s">
        <v>32</v>
      </c>
      <c r="B4" t="s">
        <v>312</v>
      </c>
      <c r="C4" t="s">
        <v>874</v>
      </c>
      <c r="D4" t="s">
        <v>875</v>
      </c>
      <c r="E4" t="s">
        <v>65</v>
      </c>
      <c r="F4">
        <v>31.858000000000001</v>
      </c>
      <c r="G4" t="s">
        <v>17</v>
      </c>
      <c r="H4">
        <v>1.1599999999999999</v>
      </c>
      <c r="I4" s="2">
        <f t="shared" si="0"/>
        <v>36.955279999999995</v>
      </c>
      <c r="J4">
        <v>1.27</v>
      </c>
      <c r="K4">
        <v>40.46</v>
      </c>
      <c r="L4" t="s">
        <v>876</v>
      </c>
    </row>
    <row r="5" spans="1:12" x14ac:dyDescent="0.25">
      <c r="A5" t="s">
        <v>36</v>
      </c>
      <c r="B5" t="s">
        <v>312</v>
      </c>
      <c r="C5" t="s">
        <v>874</v>
      </c>
      <c r="D5" t="s">
        <v>875</v>
      </c>
      <c r="E5" t="s">
        <v>65</v>
      </c>
      <c r="F5">
        <v>35</v>
      </c>
      <c r="G5" t="s">
        <v>17</v>
      </c>
      <c r="H5">
        <v>1.1599999999999999</v>
      </c>
      <c r="I5" s="2">
        <f t="shared" si="0"/>
        <v>40.599999999999994</v>
      </c>
      <c r="J5">
        <v>1.27</v>
      </c>
      <c r="K5">
        <v>44.45</v>
      </c>
      <c r="L5" t="s">
        <v>77</v>
      </c>
    </row>
    <row r="6" spans="1:12" x14ac:dyDescent="0.25">
      <c r="A6" t="s">
        <v>91</v>
      </c>
      <c r="B6" t="s">
        <v>877</v>
      </c>
      <c r="C6" t="s">
        <v>874</v>
      </c>
      <c r="D6" t="s">
        <v>875</v>
      </c>
      <c r="E6" t="s">
        <v>65</v>
      </c>
      <c r="F6">
        <v>29.587</v>
      </c>
      <c r="G6" t="s">
        <v>17</v>
      </c>
      <c r="H6">
        <v>1.17</v>
      </c>
      <c r="I6" s="2">
        <f t="shared" si="0"/>
        <v>34.616789999999995</v>
      </c>
      <c r="J6">
        <v>1.26</v>
      </c>
      <c r="K6">
        <v>37.28</v>
      </c>
      <c r="L6" t="s">
        <v>878</v>
      </c>
    </row>
    <row r="7" spans="1:12" x14ac:dyDescent="0.25">
      <c r="F7" s="1">
        <f>SUM(F2:F6)</f>
        <v>174.49299999999988</v>
      </c>
      <c r="I7" s="3">
        <f>SUM(I2:I6)</f>
        <v>202.70774999999986</v>
      </c>
      <c r="K7" s="1">
        <f>SUM(K2:K6)</f>
        <v>219.75000000000003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L80"/>
  <sheetViews>
    <sheetView topLeftCell="A61" workbookViewId="0">
      <selection activeCell="K82" sqref="K82"/>
    </sheetView>
  </sheetViews>
  <sheetFormatPr defaultRowHeight="15" x14ac:dyDescent="0.25"/>
  <cols>
    <col min="1" max="1" width="10.42578125" bestFit="1" customWidth="1"/>
    <col min="2" max="2" width="32.42578125" bestFit="1" customWidth="1"/>
    <col min="3" max="3" width="9" bestFit="1" customWidth="1"/>
    <col min="4" max="4" width="18.28515625" bestFit="1" customWidth="1"/>
    <col min="5" max="5" width="32" bestFit="1" customWidth="1"/>
    <col min="6" max="6" width="9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264</v>
      </c>
      <c r="B2" t="s">
        <v>128</v>
      </c>
      <c r="C2" t="s">
        <v>879</v>
      </c>
      <c r="D2" t="s">
        <v>880</v>
      </c>
      <c r="E2" t="s">
        <v>174</v>
      </c>
      <c r="F2">
        <v>65.411000000000001</v>
      </c>
      <c r="G2" t="s">
        <v>17</v>
      </c>
      <c r="H2">
        <v>1.1599999999999999</v>
      </c>
      <c r="I2" s="2">
        <f>F2*H2</f>
        <v>75.87675999999999</v>
      </c>
      <c r="J2">
        <v>1.51</v>
      </c>
      <c r="K2">
        <v>98.77</v>
      </c>
      <c r="L2" t="s">
        <v>881</v>
      </c>
    </row>
    <row r="3" spans="1:12" x14ac:dyDescent="0.25">
      <c r="A3" t="s">
        <v>195</v>
      </c>
      <c r="B3" t="s">
        <v>52</v>
      </c>
      <c r="C3" t="s">
        <v>882</v>
      </c>
      <c r="D3" t="s">
        <v>883</v>
      </c>
      <c r="E3" t="s">
        <v>16</v>
      </c>
      <c r="F3">
        <v>62.741999999999898</v>
      </c>
      <c r="G3" t="s">
        <v>17</v>
      </c>
      <c r="H3">
        <v>1.1599999999999999</v>
      </c>
      <c r="I3" s="2">
        <f t="shared" ref="I3:I66" si="0">F3*H3</f>
        <v>72.780719999999874</v>
      </c>
      <c r="J3">
        <v>1.28</v>
      </c>
      <c r="K3">
        <v>80.31</v>
      </c>
      <c r="L3" t="s">
        <v>289</v>
      </c>
    </row>
    <row r="4" spans="1:12" x14ac:dyDescent="0.25">
      <c r="A4" t="s">
        <v>195</v>
      </c>
      <c r="B4" t="s">
        <v>52</v>
      </c>
      <c r="C4" t="s">
        <v>884</v>
      </c>
      <c r="D4" t="s">
        <v>885</v>
      </c>
      <c r="E4" t="s">
        <v>170</v>
      </c>
      <c r="F4">
        <v>54.960999999999899</v>
      </c>
      <c r="G4" t="s">
        <v>17</v>
      </c>
      <c r="H4">
        <v>1.1599999999999999</v>
      </c>
      <c r="I4" s="2">
        <f t="shared" si="0"/>
        <v>63.754759999999877</v>
      </c>
      <c r="J4">
        <v>1.53</v>
      </c>
      <c r="K4">
        <v>84.09</v>
      </c>
      <c r="L4" t="s">
        <v>102</v>
      </c>
    </row>
    <row r="5" spans="1:12" x14ac:dyDescent="0.25">
      <c r="A5" t="s">
        <v>195</v>
      </c>
      <c r="B5" t="s">
        <v>79</v>
      </c>
      <c r="C5" t="s">
        <v>886</v>
      </c>
      <c r="D5" t="s">
        <v>887</v>
      </c>
      <c r="E5" t="s">
        <v>174</v>
      </c>
      <c r="F5">
        <v>88.662000000000006</v>
      </c>
      <c r="G5" t="s">
        <v>17</v>
      </c>
      <c r="H5">
        <v>1.1599999999999999</v>
      </c>
      <c r="I5" s="2">
        <f t="shared" si="0"/>
        <v>102.84792</v>
      </c>
      <c r="J5">
        <v>1.48</v>
      </c>
      <c r="K5">
        <v>131.22</v>
      </c>
      <c r="L5" t="s">
        <v>758</v>
      </c>
    </row>
    <row r="6" spans="1:12" x14ac:dyDescent="0.25">
      <c r="A6" t="s">
        <v>195</v>
      </c>
      <c r="B6" t="s">
        <v>260</v>
      </c>
      <c r="C6" t="s">
        <v>888</v>
      </c>
      <c r="D6" t="s">
        <v>889</v>
      </c>
      <c r="E6" t="s">
        <v>16</v>
      </c>
      <c r="F6">
        <v>52.866999999999898</v>
      </c>
      <c r="G6" t="s">
        <v>17</v>
      </c>
      <c r="H6">
        <v>1.1599999999999999</v>
      </c>
      <c r="I6" s="2">
        <f t="shared" si="0"/>
        <v>61.325719999999876</v>
      </c>
      <c r="J6">
        <v>1.28</v>
      </c>
      <c r="K6">
        <v>67.67</v>
      </c>
      <c r="L6" t="s">
        <v>890</v>
      </c>
    </row>
    <row r="7" spans="1:12" x14ac:dyDescent="0.25">
      <c r="A7" t="s">
        <v>51</v>
      </c>
      <c r="B7" t="s">
        <v>68</v>
      </c>
      <c r="C7" t="s">
        <v>891</v>
      </c>
      <c r="D7" t="s">
        <v>892</v>
      </c>
      <c r="E7" t="s">
        <v>65</v>
      </c>
      <c r="F7">
        <v>16.271999999999899</v>
      </c>
      <c r="G7" t="s">
        <v>17</v>
      </c>
      <c r="H7">
        <v>1.1299999999999999</v>
      </c>
      <c r="I7" s="2">
        <f t="shared" si="0"/>
        <v>18.387359999999884</v>
      </c>
      <c r="J7">
        <v>1.25</v>
      </c>
      <c r="K7">
        <v>20.34</v>
      </c>
      <c r="L7" t="s">
        <v>295</v>
      </c>
    </row>
    <row r="8" spans="1:12" x14ac:dyDescent="0.25">
      <c r="A8" t="s">
        <v>51</v>
      </c>
      <c r="B8" t="s">
        <v>893</v>
      </c>
      <c r="C8" t="s">
        <v>894</v>
      </c>
      <c r="D8" t="s">
        <v>895</v>
      </c>
      <c r="E8" t="s">
        <v>16</v>
      </c>
      <c r="F8">
        <v>61.960999999999899</v>
      </c>
      <c r="G8" t="s">
        <v>17</v>
      </c>
      <c r="H8">
        <v>1.1599999999999999</v>
      </c>
      <c r="I8" s="2">
        <f t="shared" si="0"/>
        <v>71.874759999999881</v>
      </c>
      <c r="J8">
        <v>1.28</v>
      </c>
      <c r="K8">
        <v>79.31</v>
      </c>
      <c r="L8" t="s">
        <v>672</v>
      </c>
    </row>
    <row r="9" spans="1:12" x14ac:dyDescent="0.25">
      <c r="A9" t="s">
        <v>51</v>
      </c>
      <c r="B9" t="s">
        <v>79</v>
      </c>
      <c r="C9" t="s">
        <v>896</v>
      </c>
      <c r="D9" t="s">
        <v>897</v>
      </c>
      <c r="E9" t="s">
        <v>65</v>
      </c>
      <c r="F9">
        <v>35.347000000000001</v>
      </c>
      <c r="G9" t="s">
        <v>17</v>
      </c>
      <c r="H9">
        <v>1.1299999999999999</v>
      </c>
      <c r="I9" s="2">
        <f t="shared" si="0"/>
        <v>39.94211</v>
      </c>
      <c r="J9">
        <v>1.24</v>
      </c>
      <c r="K9">
        <v>43.83</v>
      </c>
      <c r="L9" t="s">
        <v>145</v>
      </c>
    </row>
    <row r="10" spans="1:12" x14ac:dyDescent="0.25">
      <c r="A10" t="s">
        <v>51</v>
      </c>
      <c r="B10" t="s">
        <v>144</v>
      </c>
      <c r="C10" t="s">
        <v>888</v>
      </c>
      <c r="D10" t="s">
        <v>889</v>
      </c>
      <c r="E10" t="s">
        <v>16</v>
      </c>
      <c r="F10">
        <v>39.899999999999899</v>
      </c>
      <c r="G10" t="s">
        <v>17</v>
      </c>
      <c r="H10">
        <v>1.1599999999999999</v>
      </c>
      <c r="I10" s="2">
        <f t="shared" si="0"/>
        <v>46.283999999999878</v>
      </c>
      <c r="J10">
        <v>1.3</v>
      </c>
      <c r="K10">
        <v>51.87</v>
      </c>
      <c r="L10" t="s">
        <v>853</v>
      </c>
    </row>
    <row r="11" spans="1:12" x14ac:dyDescent="0.25">
      <c r="A11" t="s">
        <v>12</v>
      </c>
      <c r="B11" t="s">
        <v>500</v>
      </c>
      <c r="C11" t="s">
        <v>888</v>
      </c>
      <c r="D11" t="s">
        <v>889</v>
      </c>
      <c r="E11" t="s">
        <v>16</v>
      </c>
      <c r="F11">
        <v>40.578000000000003</v>
      </c>
      <c r="G11" t="s">
        <v>17</v>
      </c>
      <c r="H11">
        <v>1.1599999999999999</v>
      </c>
      <c r="I11" s="2">
        <f t="shared" si="0"/>
        <v>47.070480000000003</v>
      </c>
      <c r="J11">
        <v>1.28</v>
      </c>
      <c r="K11">
        <v>51.94</v>
      </c>
      <c r="L11" t="s">
        <v>898</v>
      </c>
    </row>
    <row r="12" spans="1:12" x14ac:dyDescent="0.25">
      <c r="A12" t="s">
        <v>12</v>
      </c>
      <c r="B12" t="s">
        <v>68</v>
      </c>
      <c r="C12" t="s">
        <v>899</v>
      </c>
      <c r="D12" t="s">
        <v>900</v>
      </c>
      <c r="E12" t="s">
        <v>16</v>
      </c>
      <c r="F12">
        <v>30.023</v>
      </c>
      <c r="G12" t="s">
        <v>17</v>
      </c>
      <c r="H12">
        <v>1.1599999999999999</v>
      </c>
      <c r="I12" s="2">
        <f t="shared" si="0"/>
        <v>34.826679999999996</v>
      </c>
      <c r="J12">
        <v>1.28</v>
      </c>
      <c r="K12">
        <v>38.43</v>
      </c>
      <c r="L12" t="s">
        <v>798</v>
      </c>
    </row>
    <row r="13" spans="1:12" x14ac:dyDescent="0.25">
      <c r="A13" t="s">
        <v>12</v>
      </c>
      <c r="B13" t="s">
        <v>72</v>
      </c>
      <c r="C13" t="s">
        <v>901</v>
      </c>
      <c r="D13" t="s">
        <v>902</v>
      </c>
      <c r="E13" t="s">
        <v>65</v>
      </c>
      <c r="F13">
        <v>30.079999999999899</v>
      </c>
      <c r="G13" t="s">
        <v>17</v>
      </c>
      <c r="H13">
        <v>1.1299999999999999</v>
      </c>
      <c r="I13" s="2">
        <f t="shared" si="0"/>
        <v>33.99039999999988</v>
      </c>
      <c r="J13">
        <v>1.25</v>
      </c>
      <c r="K13">
        <v>37.6</v>
      </c>
      <c r="L13" t="s">
        <v>847</v>
      </c>
    </row>
    <row r="14" spans="1:12" x14ac:dyDescent="0.25">
      <c r="A14" t="s">
        <v>12</v>
      </c>
      <c r="B14" t="s">
        <v>404</v>
      </c>
      <c r="C14" t="s">
        <v>903</v>
      </c>
      <c r="D14" t="s">
        <v>904</v>
      </c>
      <c r="E14" t="s">
        <v>170</v>
      </c>
      <c r="F14">
        <v>81.477000000000004</v>
      </c>
      <c r="G14" t="s">
        <v>17</v>
      </c>
      <c r="H14">
        <v>1.37</v>
      </c>
      <c r="I14" s="2">
        <f t="shared" si="0"/>
        <v>111.62349000000002</v>
      </c>
      <c r="J14">
        <v>1.53</v>
      </c>
      <c r="K14">
        <v>124.66</v>
      </c>
      <c r="L14" t="s">
        <v>870</v>
      </c>
    </row>
    <row r="15" spans="1:12" x14ac:dyDescent="0.25">
      <c r="A15" t="s">
        <v>19</v>
      </c>
      <c r="B15" t="s">
        <v>905</v>
      </c>
      <c r="C15" t="s">
        <v>906</v>
      </c>
      <c r="D15" t="s">
        <v>907</v>
      </c>
      <c r="E15" t="s">
        <v>16</v>
      </c>
      <c r="F15">
        <v>77.093999999999895</v>
      </c>
      <c r="G15" t="s">
        <v>17</v>
      </c>
      <c r="H15">
        <v>1.1599999999999999</v>
      </c>
      <c r="I15" s="2">
        <f t="shared" si="0"/>
        <v>89.429039999999873</v>
      </c>
      <c r="J15">
        <v>1.28</v>
      </c>
      <c r="K15">
        <v>98.68</v>
      </c>
      <c r="L15" t="s">
        <v>334</v>
      </c>
    </row>
    <row r="16" spans="1:12" x14ac:dyDescent="0.25">
      <c r="A16" t="s">
        <v>19</v>
      </c>
      <c r="B16" t="s">
        <v>79</v>
      </c>
      <c r="C16" t="s">
        <v>879</v>
      </c>
      <c r="D16" t="s">
        <v>880</v>
      </c>
      <c r="E16" t="s">
        <v>170</v>
      </c>
      <c r="F16">
        <v>93.561999999999898</v>
      </c>
      <c r="G16" t="s">
        <v>17</v>
      </c>
      <c r="H16">
        <v>1.37</v>
      </c>
      <c r="I16" s="2">
        <f t="shared" si="0"/>
        <v>128.17993999999987</v>
      </c>
      <c r="J16">
        <v>1.53</v>
      </c>
      <c r="K16">
        <v>143.15</v>
      </c>
      <c r="L16" t="s">
        <v>908</v>
      </c>
    </row>
    <row r="17" spans="1:12" x14ac:dyDescent="0.25">
      <c r="A17" t="s">
        <v>19</v>
      </c>
      <c r="B17" t="s">
        <v>260</v>
      </c>
      <c r="C17" t="s">
        <v>899</v>
      </c>
      <c r="D17" t="s">
        <v>900</v>
      </c>
      <c r="E17" t="s">
        <v>16</v>
      </c>
      <c r="F17">
        <v>37.75</v>
      </c>
      <c r="G17" t="s">
        <v>17</v>
      </c>
      <c r="H17">
        <v>1.1599999999999999</v>
      </c>
      <c r="I17" s="2">
        <f t="shared" si="0"/>
        <v>43.79</v>
      </c>
      <c r="J17">
        <v>1.28</v>
      </c>
      <c r="K17">
        <v>48.32</v>
      </c>
      <c r="L17" t="s">
        <v>909</v>
      </c>
    </row>
    <row r="18" spans="1:12" x14ac:dyDescent="0.25">
      <c r="A18" t="s">
        <v>19</v>
      </c>
      <c r="B18" t="s">
        <v>260</v>
      </c>
      <c r="C18" t="s">
        <v>910</v>
      </c>
      <c r="D18" t="s">
        <v>911</v>
      </c>
      <c r="E18" t="s">
        <v>16</v>
      </c>
      <c r="F18">
        <v>41.523000000000003</v>
      </c>
      <c r="G18" t="s">
        <v>17</v>
      </c>
      <c r="H18">
        <v>1.1599999999999999</v>
      </c>
      <c r="I18" s="2">
        <f t="shared" si="0"/>
        <v>48.166679999999999</v>
      </c>
      <c r="J18">
        <v>1.28</v>
      </c>
      <c r="K18">
        <v>53.15</v>
      </c>
      <c r="L18" t="s">
        <v>909</v>
      </c>
    </row>
    <row r="19" spans="1:12" x14ac:dyDescent="0.25">
      <c r="A19" t="s">
        <v>19</v>
      </c>
      <c r="B19" t="s">
        <v>260</v>
      </c>
      <c r="C19" t="s">
        <v>899</v>
      </c>
      <c r="D19" t="s">
        <v>900</v>
      </c>
      <c r="E19" t="s">
        <v>16</v>
      </c>
      <c r="F19">
        <v>29.7029999999999</v>
      </c>
      <c r="G19" t="s">
        <v>17</v>
      </c>
      <c r="H19">
        <v>1.1599999999999999</v>
      </c>
      <c r="I19" s="2">
        <f t="shared" si="0"/>
        <v>34.455479999999881</v>
      </c>
      <c r="J19">
        <v>1.28</v>
      </c>
      <c r="K19">
        <v>38.020000000000003</v>
      </c>
      <c r="L19" t="s">
        <v>912</v>
      </c>
    </row>
    <row r="20" spans="1:12" x14ac:dyDescent="0.25">
      <c r="A20" t="s">
        <v>19</v>
      </c>
      <c r="B20" t="s">
        <v>144</v>
      </c>
      <c r="C20" t="s">
        <v>888</v>
      </c>
      <c r="D20" t="s">
        <v>889</v>
      </c>
      <c r="E20" t="s">
        <v>16</v>
      </c>
      <c r="F20">
        <v>51.069000000000003</v>
      </c>
      <c r="G20" t="s">
        <v>17</v>
      </c>
      <c r="H20">
        <v>1.1599999999999999</v>
      </c>
      <c r="I20" s="2">
        <f t="shared" si="0"/>
        <v>59.24004</v>
      </c>
      <c r="J20">
        <v>1.3</v>
      </c>
      <c r="K20">
        <v>66.39</v>
      </c>
      <c r="L20" t="s">
        <v>913</v>
      </c>
    </row>
    <row r="21" spans="1:12" x14ac:dyDescent="0.25">
      <c r="A21" t="s">
        <v>61</v>
      </c>
      <c r="B21" t="s">
        <v>353</v>
      </c>
      <c r="C21" t="s">
        <v>910</v>
      </c>
      <c r="D21" t="s">
        <v>911</v>
      </c>
      <c r="E21" t="s">
        <v>16</v>
      </c>
      <c r="F21">
        <v>47.453000000000003</v>
      </c>
      <c r="G21" t="s">
        <v>17</v>
      </c>
      <c r="H21">
        <v>1.1599999999999999</v>
      </c>
      <c r="I21" s="2">
        <f t="shared" si="0"/>
        <v>55.045479999999998</v>
      </c>
      <c r="J21">
        <v>1.28</v>
      </c>
      <c r="K21">
        <v>60.74</v>
      </c>
      <c r="L21" t="s">
        <v>914</v>
      </c>
    </row>
    <row r="22" spans="1:12" x14ac:dyDescent="0.25">
      <c r="A22" t="s">
        <v>61</v>
      </c>
      <c r="B22" t="s">
        <v>52</v>
      </c>
      <c r="C22" t="s">
        <v>915</v>
      </c>
      <c r="D22" t="s">
        <v>916</v>
      </c>
      <c r="E22" t="s">
        <v>170</v>
      </c>
      <c r="F22">
        <v>68.561999999999898</v>
      </c>
      <c r="G22" t="s">
        <v>17</v>
      </c>
      <c r="H22">
        <v>1.37</v>
      </c>
      <c r="I22" s="2">
        <f t="shared" si="0"/>
        <v>93.929939999999874</v>
      </c>
      <c r="J22">
        <v>1.53</v>
      </c>
      <c r="K22">
        <v>104.9</v>
      </c>
      <c r="L22" t="s">
        <v>836</v>
      </c>
    </row>
    <row r="23" spans="1:12" x14ac:dyDescent="0.25">
      <c r="A23" t="s">
        <v>61</v>
      </c>
      <c r="B23" t="s">
        <v>260</v>
      </c>
      <c r="C23" t="s">
        <v>910</v>
      </c>
      <c r="D23" t="s">
        <v>911</v>
      </c>
      <c r="E23" t="s">
        <v>16</v>
      </c>
      <c r="F23">
        <v>25.789000000000001</v>
      </c>
      <c r="G23" t="s">
        <v>17</v>
      </c>
      <c r="H23">
        <v>1.1599999999999999</v>
      </c>
      <c r="I23" s="2">
        <f t="shared" si="0"/>
        <v>29.915240000000001</v>
      </c>
      <c r="J23">
        <v>1.28</v>
      </c>
      <c r="K23">
        <v>33.01</v>
      </c>
      <c r="L23" t="s">
        <v>917</v>
      </c>
    </row>
    <row r="24" spans="1:12" x14ac:dyDescent="0.25">
      <c r="A24" t="s">
        <v>61</v>
      </c>
      <c r="B24" t="s">
        <v>918</v>
      </c>
      <c r="C24" t="s">
        <v>888</v>
      </c>
      <c r="D24" t="s">
        <v>889</v>
      </c>
      <c r="E24" t="s">
        <v>16</v>
      </c>
      <c r="F24">
        <v>57.883000000000003</v>
      </c>
      <c r="G24" t="s">
        <v>17</v>
      </c>
      <c r="H24">
        <v>1.1599999999999999</v>
      </c>
      <c r="I24" s="2">
        <f t="shared" si="0"/>
        <v>67.144279999999995</v>
      </c>
      <c r="J24">
        <v>1.28</v>
      </c>
      <c r="K24">
        <v>74.09</v>
      </c>
      <c r="L24" t="s">
        <v>919</v>
      </c>
    </row>
    <row r="25" spans="1:12" x14ac:dyDescent="0.25">
      <c r="A25" t="s">
        <v>106</v>
      </c>
      <c r="B25" t="s">
        <v>404</v>
      </c>
      <c r="C25" t="s">
        <v>920</v>
      </c>
      <c r="D25" t="s">
        <v>921</v>
      </c>
      <c r="E25" t="s">
        <v>170</v>
      </c>
      <c r="F25">
        <v>60</v>
      </c>
      <c r="G25" t="s">
        <v>17</v>
      </c>
      <c r="H25">
        <v>1.37</v>
      </c>
      <c r="I25" s="2">
        <f t="shared" si="0"/>
        <v>82.2</v>
      </c>
      <c r="J25">
        <v>1.53</v>
      </c>
      <c r="K25">
        <v>91.8</v>
      </c>
      <c r="L25" t="s">
        <v>49</v>
      </c>
    </row>
    <row r="26" spans="1:12" x14ac:dyDescent="0.25">
      <c r="A26" t="s">
        <v>304</v>
      </c>
      <c r="B26" t="s">
        <v>72</v>
      </c>
      <c r="C26" t="s">
        <v>901</v>
      </c>
      <c r="D26" t="s">
        <v>902</v>
      </c>
      <c r="E26" t="s">
        <v>65</v>
      </c>
      <c r="F26">
        <v>29.68</v>
      </c>
      <c r="G26" t="s">
        <v>17</v>
      </c>
      <c r="H26">
        <v>1.1299999999999999</v>
      </c>
      <c r="I26" s="2">
        <f t="shared" si="0"/>
        <v>33.538399999999996</v>
      </c>
      <c r="J26">
        <v>1.25</v>
      </c>
      <c r="K26">
        <v>37.1</v>
      </c>
      <c r="L26" t="s">
        <v>922</v>
      </c>
    </row>
    <row r="27" spans="1:12" x14ac:dyDescent="0.25">
      <c r="A27" t="s">
        <v>57</v>
      </c>
      <c r="B27" t="s">
        <v>260</v>
      </c>
      <c r="C27" t="s">
        <v>888</v>
      </c>
      <c r="D27" t="s">
        <v>889</v>
      </c>
      <c r="E27" t="s">
        <v>16</v>
      </c>
      <c r="F27">
        <v>28.672000000000001</v>
      </c>
      <c r="G27" t="s">
        <v>17</v>
      </c>
      <c r="H27">
        <v>1.1599999999999999</v>
      </c>
      <c r="I27" s="2">
        <f t="shared" si="0"/>
        <v>33.259519999999995</v>
      </c>
      <c r="J27">
        <v>1.28</v>
      </c>
      <c r="K27">
        <v>36.700000000000003</v>
      </c>
      <c r="L27" t="s">
        <v>798</v>
      </c>
    </row>
    <row r="28" spans="1:12" x14ac:dyDescent="0.25">
      <c r="A28" t="s">
        <v>76</v>
      </c>
      <c r="B28" t="s">
        <v>848</v>
      </c>
      <c r="C28" t="s">
        <v>906</v>
      </c>
      <c r="D28" t="s">
        <v>907</v>
      </c>
      <c r="E28" t="s">
        <v>16</v>
      </c>
      <c r="F28">
        <v>83.022999999999897</v>
      </c>
      <c r="G28" t="s">
        <v>17</v>
      </c>
      <c r="H28">
        <v>1.1599999999999999</v>
      </c>
      <c r="I28" s="2">
        <f t="shared" si="0"/>
        <v>96.306679999999872</v>
      </c>
      <c r="J28">
        <v>1.28</v>
      </c>
      <c r="K28">
        <v>106.27</v>
      </c>
      <c r="L28" t="s">
        <v>923</v>
      </c>
    </row>
    <row r="29" spans="1:12" x14ac:dyDescent="0.25">
      <c r="A29" t="s">
        <v>76</v>
      </c>
      <c r="B29" t="s">
        <v>79</v>
      </c>
      <c r="C29" t="s">
        <v>886</v>
      </c>
      <c r="D29" t="s">
        <v>887</v>
      </c>
      <c r="E29" t="s">
        <v>174</v>
      </c>
      <c r="F29">
        <v>90.777000000000001</v>
      </c>
      <c r="G29" t="s">
        <v>17</v>
      </c>
      <c r="H29">
        <v>1.42</v>
      </c>
      <c r="I29" s="2">
        <f t="shared" si="0"/>
        <v>128.90333999999999</v>
      </c>
      <c r="J29">
        <v>1.48</v>
      </c>
      <c r="K29">
        <v>134.35</v>
      </c>
      <c r="L29" t="s">
        <v>184</v>
      </c>
    </row>
    <row r="30" spans="1:12" x14ac:dyDescent="0.25">
      <c r="A30" t="s">
        <v>76</v>
      </c>
      <c r="B30" t="s">
        <v>144</v>
      </c>
      <c r="C30" t="s">
        <v>888</v>
      </c>
      <c r="D30" t="s">
        <v>889</v>
      </c>
      <c r="E30" t="s">
        <v>16</v>
      </c>
      <c r="F30">
        <v>27.3</v>
      </c>
      <c r="G30" t="s">
        <v>17</v>
      </c>
      <c r="H30">
        <v>1.1599999999999999</v>
      </c>
      <c r="I30" s="2">
        <f t="shared" si="0"/>
        <v>31.667999999999999</v>
      </c>
      <c r="J30">
        <v>1.3</v>
      </c>
      <c r="K30">
        <v>35.49</v>
      </c>
      <c r="L30" t="s">
        <v>868</v>
      </c>
    </row>
    <row r="31" spans="1:12" x14ac:dyDescent="0.25">
      <c r="A31" t="s">
        <v>24</v>
      </c>
      <c r="B31" t="s">
        <v>500</v>
      </c>
      <c r="C31" t="s">
        <v>888</v>
      </c>
      <c r="D31" t="s">
        <v>889</v>
      </c>
      <c r="E31" t="s">
        <v>16</v>
      </c>
      <c r="F31">
        <v>37.866999999999898</v>
      </c>
      <c r="G31" t="s">
        <v>17</v>
      </c>
      <c r="H31">
        <v>1.1599999999999999</v>
      </c>
      <c r="I31" s="2">
        <f t="shared" si="0"/>
        <v>43.925719999999878</v>
      </c>
      <c r="J31">
        <v>1.28</v>
      </c>
      <c r="K31">
        <v>48.47</v>
      </c>
      <c r="L31" t="s">
        <v>924</v>
      </c>
    </row>
    <row r="32" spans="1:12" x14ac:dyDescent="0.25">
      <c r="A32" t="s">
        <v>24</v>
      </c>
      <c r="B32" t="s">
        <v>72</v>
      </c>
      <c r="C32" t="s">
        <v>925</v>
      </c>
      <c r="D32" t="s">
        <v>926</v>
      </c>
      <c r="E32" t="s">
        <v>16</v>
      </c>
      <c r="F32">
        <v>51.273000000000003</v>
      </c>
      <c r="G32" t="s">
        <v>17</v>
      </c>
      <c r="H32">
        <v>1.1599999999999999</v>
      </c>
      <c r="I32" s="2">
        <f t="shared" si="0"/>
        <v>59.476680000000002</v>
      </c>
      <c r="J32">
        <v>1.28</v>
      </c>
      <c r="K32">
        <v>65.63</v>
      </c>
      <c r="L32" t="s">
        <v>184</v>
      </c>
    </row>
    <row r="33" spans="1:12" x14ac:dyDescent="0.25">
      <c r="A33" t="s">
        <v>24</v>
      </c>
      <c r="B33" t="s">
        <v>99</v>
      </c>
      <c r="C33" t="s">
        <v>927</v>
      </c>
      <c r="D33" t="s">
        <v>928</v>
      </c>
      <c r="E33" t="s">
        <v>170</v>
      </c>
      <c r="F33">
        <v>69.195999999999898</v>
      </c>
      <c r="G33" t="s">
        <v>17</v>
      </c>
      <c r="H33">
        <v>1.37</v>
      </c>
      <c r="I33" s="2">
        <f t="shared" si="0"/>
        <v>94.798519999999868</v>
      </c>
      <c r="J33">
        <v>1.53</v>
      </c>
      <c r="K33">
        <v>105.87</v>
      </c>
      <c r="L33" t="s">
        <v>929</v>
      </c>
    </row>
    <row r="34" spans="1:12" x14ac:dyDescent="0.25">
      <c r="A34" t="s">
        <v>24</v>
      </c>
      <c r="B34" t="s">
        <v>99</v>
      </c>
      <c r="C34" t="s">
        <v>903</v>
      </c>
      <c r="D34" t="s">
        <v>904</v>
      </c>
      <c r="E34" t="s">
        <v>170</v>
      </c>
      <c r="F34">
        <v>71.058999999999898</v>
      </c>
      <c r="G34" t="s">
        <v>17</v>
      </c>
      <c r="H34">
        <v>1.37</v>
      </c>
      <c r="I34" s="2">
        <f t="shared" si="0"/>
        <v>97.350829999999874</v>
      </c>
      <c r="J34">
        <v>1.53</v>
      </c>
      <c r="K34">
        <v>108.72</v>
      </c>
      <c r="L34" t="s">
        <v>930</v>
      </c>
    </row>
    <row r="35" spans="1:12" x14ac:dyDescent="0.25">
      <c r="A35" t="s">
        <v>24</v>
      </c>
      <c r="B35" t="s">
        <v>52</v>
      </c>
      <c r="C35" t="s">
        <v>884</v>
      </c>
      <c r="D35" t="s">
        <v>885</v>
      </c>
      <c r="E35" t="s">
        <v>170</v>
      </c>
      <c r="F35">
        <v>54.2289999999999</v>
      </c>
      <c r="G35" t="s">
        <v>17</v>
      </c>
      <c r="H35">
        <v>1.37</v>
      </c>
      <c r="I35" s="2">
        <f t="shared" si="0"/>
        <v>74.293729999999869</v>
      </c>
      <c r="J35">
        <v>1.53</v>
      </c>
      <c r="K35">
        <v>82.97</v>
      </c>
      <c r="L35" t="s">
        <v>50</v>
      </c>
    </row>
    <row r="36" spans="1:12" x14ac:dyDescent="0.25">
      <c r="A36" t="s">
        <v>28</v>
      </c>
      <c r="B36" t="s">
        <v>404</v>
      </c>
      <c r="C36" t="s">
        <v>896</v>
      </c>
      <c r="D36" t="s">
        <v>897</v>
      </c>
      <c r="E36" t="s">
        <v>65</v>
      </c>
      <c r="F36">
        <v>40.264000000000003</v>
      </c>
      <c r="G36" t="s">
        <v>17</v>
      </c>
      <c r="H36">
        <v>1.1299999999999999</v>
      </c>
      <c r="I36" s="2">
        <f t="shared" si="0"/>
        <v>45.49832</v>
      </c>
      <c r="J36">
        <v>1.25</v>
      </c>
      <c r="K36">
        <v>50.33</v>
      </c>
      <c r="L36" t="s">
        <v>931</v>
      </c>
    </row>
    <row r="37" spans="1:12" x14ac:dyDescent="0.25">
      <c r="A37" t="s">
        <v>28</v>
      </c>
      <c r="B37" t="s">
        <v>260</v>
      </c>
      <c r="C37" t="s">
        <v>932</v>
      </c>
      <c r="D37" t="s">
        <v>933</v>
      </c>
      <c r="E37" t="s">
        <v>16</v>
      </c>
      <c r="F37">
        <v>71.718999999999895</v>
      </c>
      <c r="G37" t="s">
        <v>17</v>
      </c>
      <c r="H37">
        <v>1.1599999999999999</v>
      </c>
      <c r="I37" s="2">
        <f t="shared" si="0"/>
        <v>83.194039999999873</v>
      </c>
      <c r="J37">
        <v>1.28</v>
      </c>
      <c r="K37">
        <v>91.8</v>
      </c>
      <c r="L37" t="s">
        <v>934</v>
      </c>
    </row>
    <row r="38" spans="1:12" x14ac:dyDescent="0.25">
      <c r="A38" t="s">
        <v>28</v>
      </c>
      <c r="B38" t="s">
        <v>144</v>
      </c>
      <c r="C38" t="s">
        <v>888</v>
      </c>
      <c r="D38" t="s">
        <v>889</v>
      </c>
      <c r="E38" t="s">
        <v>16</v>
      </c>
      <c r="F38">
        <v>46.877000000000002</v>
      </c>
      <c r="G38" t="s">
        <v>17</v>
      </c>
      <c r="H38">
        <v>1.1599999999999999</v>
      </c>
      <c r="I38" s="2">
        <f t="shared" si="0"/>
        <v>54.377319999999997</v>
      </c>
      <c r="J38">
        <v>1.3</v>
      </c>
      <c r="K38">
        <v>60.94</v>
      </c>
      <c r="L38" t="s">
        <v>935</v>
      </c>
    </row>
    <row r="39" spans="1:12" x14ac:dyDescent="0.25">
      <c r="A39" t="s">
        <v>32</v>
      </c>
      <c r="B39" t="s">
        <v>72</v>
      </c>
      <c r="C39" t="s">
        <v>888</v>
      </c>
      <c r="D39" t="s">
        <v>889</v>
      </c>
      <c r="E39" t="s">
        <v>16</v>
      </c>
      <c r="F39">
        <v>31.797000000000001</v>
      </c>
      <c r="G39" t="s">
        <v>17</v>
      </c>
      <c r="H39">
        <v>1.1599999999999999</v>
      </c>
      <c r="I39" s="2">
        <f t="shared" si="0"/>
        <v>36.884519999999995</v>
      </c>
      <c r="J39">
        <v>1.28</v>
      </c>
      <c r="K39">
        <v>40.700000000000003</v>
      </c>
      <c r="L39" t="s">
        <v>936</v>
      </c>
    </row>
    <row r="40" spans="1:12" x14ac:dyDescent="0.25">
      <c r="A40" t="s">
        <v>241</v>
      </c>
      <c r="B40" t="s">
        <v>404</v>
      </c>
      <c r="C40" t="s">
        <v>920</v>
      </c>
      <c r="D40" t="s">
        <v>921</v>
      </c>
      <c r="E40" t="s">
        <v>170</v>
      </c>
      <c r="F40">
        <v>35</v>
      </c>
      <c r="G40" t="s">
        <v>17</v>
      </c>
      <c r="H40">
        <v>1.37</v>
      </c>
      <c r="I40" s="2">
        <f t="shared" si="0"/>
        <v>47.95</v>
      </c>
      <c r="J40">
        <v>1.53</v>
      </c>
      <c r="K40">
        <v>53.55</v>
      </c>
      <c r="L40" t="s">
        <v>937</v>
      </c>
    </row>
    <row r="41" spans="1:12" x14ac:dyDescent="0.25">
      <c r="A41" t="s">
        <v>81</v>
      </c>
      <c r="B41" t="s">
        <v>72</v>
      </c>
      <c r="C41" t="s">
        <v>901</v>
      </c>
      <c r="D41" t="s">
        <v>902</v>
      </c>
      <c r="E41" t="s">
        <v>65</v>
      </c>
      <c r="F41">
        <v>17.704000000000001</v>
      </c>
      <c r="G41" t="s">
        <v>17</v>
      </c>
      <c r="H41">
        <v>1.1299999999999999</v>
      </c>
      <c r="I41" s="2">
        <f t="shared" si="0"/>
        <v>20.005519999999997</v>
      </c>
      <c r="J41">
        <v>1.25</v>
      </c>
      <c r="K41">
        <v>22.13</v>
      </c>
      <c r="L41" t="s">
        <v>757</v>
      </c>
    </row>
    <row r="42" spans="1:12" x14ac:dyDescent="0.25">
      <c r="A42" t="s">
        <v>81</v>
      </c>
      <c r="B42" t="s">
        <v>99</v>
      </c>
      <c r="C42" t="s">
        <v>903</v>
      </c>
      <c r="D42" t="s">
        <v>904</v>
      </c>
      <c r="E42" t="s">
        <v>170</v>
      </c>
      <c r="F42">
        <v>40.012999999999899</v>
      </c>
      <c r="G42" t="s">
        <v>17</v>
      </c>
      <c r="H42">
        <v>1.37</v>
      </c>
      <c r="I42" s="2">
        <f t="shared" si="0"/>
        <v>54.817809999999866</v>
      </c>
      <c r="J42">
        <v>1.53</v>
      </c>
      <c r="K42">
        <v>61.22</v>
      </c>
      <c r="L42" t="s">
        <v>278</v>
      </c>
    </row>
    <row r="43" spans="1:12" x14ac:dyDescent="0.25">
      <c r="A43" t="s">
        <v>85</v>
      </c>
      <c r="B43" t="s">
        <v>72</v>
      </c>
      <c r="C43" t="s">
        <v>899</v>
      </c>
      <c r="D43" t="s">
        <v>900</v>
      </c>
      <c r="E43" t="s">
        <v>16</v>
      </c>
      <c r="F43">
        <v>46.148000000000003</v>
      </c>
      <c r="G43" t="s">
        <v>17</v>
      </c>
      <c r="H43">
        <v>1.1599999999999999</v>
      </c>
      <c r="I43" s="2">
        <f t="shared" si="0"/>
        <v>53.531680000000001</v>
      </c>
      <c r="J43">
        <v>1.28</v>
      </c>
      <c r="K43">
        <v>59.07</v>
      </c>
      <c r="L43" t="s">
        <v>71</v>
      </c>
    </row>
    <row r="44" spans="1:12" x14ac:dyDescent="0.25">
      <c r="A44" t="s">
        <v>85</v>
      </c>
      <c r="B44" t="s">
        <v>260</v>
      </c>
      <c r="C44" t="s">
        <v>888</v>
      </c>
      <c r="D44" t="s">
        <v>889</v>
      </c>
      <c r="E44" t="s">
        <v>16</v>
      </c>
      <c r="F44">
        <v>26.617000000000001</v>
      </c>
      <c r="G44" t="s">
        <v>17</v>
      </c>
      <c r="H44">
        <v>1.1599999999999999</v>
      </c>
      <c r="I44" s="2">
        <f t="shared" si="0"/>
        <v>30.875719999999998</v>
      </c>
      <c r="J44">
        <v>1.28</v>
      </c>
      <c r="K44">
        <v>34.07</v>
      </c>
      <c r="L44" t="s">
        <v>326</v>
      </c>
    </row>
    <row r="45" spans="1:12" x14ac:dyDescent="0.25">
      <c r="A45" t="s">
        <v>85</v>
      </c>
      <c r="B45" t="s">
        <v>260</v>
      </c>
      <c r="C45" t="s">
        <v>888</v>
      </c>
      <c r="D45" t="s">
        <v>889</v>
      </c>
      <c r="E45" t="s">
        <v>16</v>
      </c>
      <c r="F45">
        <v>28.780999999999899</v>
      </c>
      <c r="G45" t="s">
        <v>17</v>
      </c>
      <c r="H45">
        <v>1.1599999999999999</v>
      </c>
      <c r="I45" s="2">
        <f t="shared" si="0"/>
        <v>33.385959999999884</v>
      </c>
      <c r="J45">
        <v>1.28</v>
      </c>
      <c r="K45">
        <v>36.840000000000003</v>
      </c>
      <c r="L45" t="s">
        <v>370</v>
      </c>
    </row>
    <row r="46" spans="1:12" x14ac:dyDescent="0.25">
      <c r="A46" t="s">
        <v>118</v>
      </c>
      <c r="B46" t="s">
        <v>176</v>
      </c>
      <c r="C46" t="s">
        <v>938</v>
      </c>
      <c r="D46" t="s">
        <v>939</v>
      </c>
      <c r="E46" t="s">
        <v>16</v>
      </c>
      <c r="F46">
        <v>51.107999999999898</v>
      </c>
      <c r="G46" t="s">
        <v>17</v>
      </c>
      <c r="H46">
        <v>1.1599999999999999</v>
      </c>
      <c r="I46" s="2">
        <f t="shared" si="0"/>
        <v>59.285279999999879</v>
      </c>
      <c r="J46">
        <v>1.3</v>
      </c>
      <c r="K46">
        <v>66.44</v>
      </c>
      <c r="L46" t="s">
        <v>143</v>
      </c>
    </row>
    <row r="47" spans="1:12" x14ac:dyDescent="0.25">
      <c r="A47" t="s">
        <v>118</v>
      </c>
      <c r="B47" t="s">
        <v>144</v>
      </c>
      <c r="C47" t="s">
        <v>932</v>
      </c>
      <c r="D47" t="s">
        <v>933</v>
      </c>
      <c r="E47" t="s">
        <v>16</v>
      </c>
      <c r="F47">
        <v>81.754000000000005</v>
      </c>
      <c r="G47" t="s">
        <v>17</v>
      </c>
      <c r="H47">
        <v>1.1599999999999999</v>
      </c>
      <c r="I47" s="2">
        <f t="shared" si="0"/>
        <v>94.834639999999993</v>
      </c>
      <c r="J47">
        <v>1.3</v>
      </c>
      <c r="K47">
        <v>106.28</v>
      </c>
      <c r="L47" t="s">
        <v>586</v>
      </c>
    </row>
    <row r="48" spans="1:12" x14ac:dyDescent="0.25">
      <c r="A48" t="s">
        <v>36</v>
      </c>
      <c r="B48" t="s">
        <v>99</v>
      </c>
      <c r="C48" t="s">
        <v>927</v>
      </c>
      <c r="D48" t="s">
        <v>928</v>
      </c>
      <c r="E48" t="s">
        <v>170</v>
      </c>
      <c r="F48">
        <v>55.529000000000003</v>
      </c>
      <c r="G48" t="s">
        <v>17</v>
      </c>
      <c r="H48">
        <v>1.37</v>
      </c>
      <c r="I48" s="2">
        <f t="shared" si="0"/>
        <v>76.074730000000017</v>
      </c>
      <c r="J48">
        <v>1.53</v>
      </c>
      <c r="K48">
        <v>84.96</v>
      </c>
      <c r="L48" t="s">
        <v>664</v>
      </c>
    </row>
    <row r="49" spans="1:12" x14ac:dyDescent="0.25">
      <c r="A49" t="s">
        <v>36</v>
      </c>
      <c r="B49" t="s">
        <v>150</v>
      </c>
      <c r="C49" t="s">
        <v>910</v>
      </c>
      <c r="D49" t="s">
        <v>911</v>
      </c>
      <c r="E49" t="s">
        <v>16</v>
      </c>
      <c r="F49">
        <v>38.898000000000003</v>
      </c>
      <c r="G49" t="s">
        <v>17</v>
      </c>
      <c r="H49">
        <v>1.1599999999999999</v>
      </c>
      <c r="I49" s="2">
        <f t="shared" si="0"/>
        <v>45.121679999999998</v>
      </c>
      <c r="J49">
        <v>1.28</v>
      </c>
      <c r="K49">
        <v>49.79</v>
      </c>
      <c r="L49" t="s">
        <v>940</v>
      </c>
    </row>
    <row r="50" spans="1:12" x14ac:dyDescent="0.25">
      <c r="A50" t="s">
        <v>36</v>
      </c>
      <c r="B50" t="s">
        <v>52</v>
      </c>
      <c r="C50" t="s">
        <v>903</v>
      </c>
      <c r="D50" t="s">
        <v>904</v>
      </c>
      <c r="E50" t="s">
        <v>170</v>
      </c>
      <c r="F50">
        <v>67.863</v>
      </c>
      <c r="G50" t="s">
        <v>17</v>
      </c>
      <c r="H50">
        <v>1.37</v>
      </c>
      <c r="I50" s="2">
        <f t="shared" si="0"/>
        <v>92.972310000000007</v>
      </c>
      <c r="J50">
        <v>1.53</v>
      </c>
      <c r="K50">
        <v>103.83</v>
      </c>
      <c r="L50" t="s">
        <v>477</v>
      </c>
    </row>
    <row r="51" spans="1:12" x14ac:dyDescent="0.25">
      <c r="A51" t="s">
        <v>36</v>
      </c>
      <c r="B51" t="s">
        <v>246</v>
      </c>
      <c r="C51" t="s">
        <v>888</v>
      </c>
      <c r="D51" t="s">
        <v>889</v>
      </c>
      <c r="E51" t="s">
        <v>16</v>
      </c>
      <c r="F51">
        <v>25.617000000000001</v>
      </c>
      <c r="G51" t="s">
        <v>17</v>
      </c>
      <c r="H51">
        <v>1.1599999999999999</v>
      </c>
      <c r="I51" s="2">
        <f t="shared" si="0"/>
        <v>29.715719999999997</v>
      </c>
      <c r="J51">
        <v>1.28</v>
      </c>
      <c r="K51">
        <v>32.79</v>
      </c>
      <c r="L51" t="s">
        <v>941</v>
      </c>
    </row>
    <row r="52" spans="1:12" x14ac:dyDescent="0.25">
      <c r="A52" t="s">
        <v>127</v>
      </c>
      <c r="B52" t="s">
        <v>68</v>
      </c>
      <c r="C52" t="s">
        <v>882</v>
      </c>
      <c r="D52" t="s">
        <v>883</v>
      </c>
      <c r="E52" t="s">
        <v>16</v>
      </c>
      <c r="F52">
        <v>62.171999999999898</v>
      </c>
      <c r="G52" t="s">
        <v>17</v>
      </c>
      <c r="H52">
        <v>1.1599999999999999</v>
      </c>
      <c r="I52" s="2">
        <f t="shared" si="0"/>
        <v>72.119519999999881</v>
      </c>
      <c r="J52">
        <v>1.28</v>
      </c>
      <c r="K52">
        <v>79.58</v>
      </c>
      <c r="L52" t="s">
        <v>381</v>
      </c>
    </row>
    <row r="53" spans="1:12" x14ac:dyDescent="0.25">
      <c r="A53" t="s">
        <v>127</v>
      </c>
      <c r="B53" t="s">
        <v>260</v>
      </c>
      <c r="C53" t="s">
        <v>932</v>
      </c>
      <c r="D53" t="s">
        <v>933</v>
      </c>
      <c r="E53" t="s">
        <v>16</v>
      </c>
      <c r="F53">
        <v>52.640999999999899</v>
      </c>
      <c r="G53" t="s">
        <v>17</v>
      </c>
      <c r="H53">
        <v>1.1599999999999999</v>
      </c>
      <c r="I53" s="2">
        <f t="shared" si="0"/>
        <v>61.063559999999882</v>
      </c>
      <c r="J53">
        <v>1.28</v>
      </c>
      <c r="K53">
        <v>67.38</v>
      </c>
      <c r="L53" t="s">
        <v>942</v>
      </c>
    </row>
    <row r="54" spans="1:12" x14ac:dyDescent="0.25">
      <c r="A54" t="s">
        <v>127</v>
      </c>
      <c r="B54" t="s">
        <v>260</v>
      </c>
      <c r="C54" t="s">
        <v>932</v>
      </c>
      <c r="D54" t="s">
        <v>933</v>
      </c>
      <c r="E54" t="s">
        <v>473</v>
      </c>
      <c r="F54">
        <v>18.015999999999899</v>
      </c>
      <c r="G54" t="s">
        <v>17</v>
      </c>
      <c r="I54" s="2">
        <f t="shared" si="0"/>
        <v>0</v>
      </c>
      <c r="J54">
        <v>1.22</v>
      </c>
      <c r="K54">
        <v>21.98</v>
      </c>
      <c r="L54" t="s">
        <v>942</v>
      </c>
    </row>
    <row r="55" spans="1:12" x14ac:dyDescent="0.25">
      <c r="A55" t="s">
        <v>127</v>
      </c>
      <c r="B55" t="s">
        <v>144</v>
      </c>
      <c r="C55" t="s">
        <v>888</v>
      </c>
      <c r="D55" t="s">
        <v>889</v>
      </c>
      <c r="E55" t="s">
        <v>16</v>
      </c>
      <c r="F55">
        <v>57.6</v>
      </c>
      <c r="G55" t="s">
        <v>17</v>
      </c>
      <c r="H55">
        <v>1.1599999999999999</v>
      </c>
      <c r="I55" s="2">
        <f t="shared" si="0"/>
        <v>66.816000000000003</v>
      </c>
      <c r="J55">
        <v>1.3</v>
      </c>
      <c r="K55">
        <v>74.88</v>
      </c>
      <c r="L55" t="s">
        <v>943</v>
      </c>
    </row>
    <row r="56" spans="1:12" x14ac:dyDescent="0.25">
      <c r="A56" t="s">
        <v>38</v>
      </c>
      <c r="B56" t="s">
        <v>123</v>
      </c>
      <c r="C56" t="s">
        <v>901</v>
      </c>
      <c r="D56" t="s">
        <v>902</v>
      </c>
      <c r="E56" t="s">
        <v>65</v>
      </c>
      <c r="F56">
        <v>39.331000000000003</v>
      </c>
      <c r="G56" t="s">
        <v>17</v>
      </c>
      <c r="H56">
        <v>1.1399999999999999</v>
      </c>
      <c r="I56" s="2">
        <f t="shared" si="0"/>
        <v>44.837339999999998</v>
      </c>
      <c r="J56">
        <v>1.27</v>
      </c>
      <c r="K56">
        <v>49.95</v>
      </c>
      <c r="L56" t="s">
        <v>944</v>
      </c>
    </row>
    <row r="57" spans="1:12" x14ac:dyDescent="0.25">
      <c r="A57" t="s">
        <v>38</v>
      </c>
      <c r="B57" t="s">
        <v>353</v>
      </c>
      <c r="C57" t="s">
        <v>932</v>
      </c>
      <c r="D57" t="s">
        <v>933</v>
      </c>
      <c r="E57" t="s">
        <v>16</v>
      </c>
      <c r="F57">
        <v>64.930000000000007</v>
      </c>
      <c r="G57" t="s">
        <v>17</v>
      </c>
      <c r="H57">
        <v>1.17</v>
      </c>
      <c r="I57" s="2">
        <f t="shared" si="0"/>
        <v>75.968100000000007</v>
      </c>
      <c r="J57">
        <v>1.28</v>
      </c>
      <c r="K57">
        <v>83.11</v>
      </c>
      <c r="L57" t="s">
        <v>945</v>
      </c>
    </row>
    <row r="58" spans="1:12" x14ac:dyDescent="0.25">
      <c r="A58" t="s">
        <v>38</v>
      </c>
      <c r="B58" t="s">
        <v>353</v>
      </c>
      <c r="C58" t="s">
        <v>932</v>
      </c>
      <c r="D58" t="s">
        <v>933</v>
      </c>
      <c r="E58" t="s">
        <v>818</v>
      </c>
      <c r="F58">
        <v>1</v>
      </c>
      <c r="G58" t="s">
        <v>152</v>
      </c>
      <c r="I58" s="2">
        <f t="shared" si="0"/>
        <v>0</v>
      </c>
      <c r="J58">
        <v>10.73</v>
      </c>
      <c r="K58">
        <v>10.73</v>
      </c>
      <c r="L58" t="s">
        <v>945</v>
      </c>
    </row>
    <row r="59" spans="1:12" x14ac:dyDescent="0.25">
      <c r="A59" t="s">
        <v>38</v>
      </c>
      <c r="B59" t="s">
        <v>893</v>
      </c>
      <c r="C59" t="s">
        <v>938</v>
      </c>
      <c r="D59" t="s">
        <v>939</v>
      </c>
      <c r="E59" t="s">
        <v>16</v>
      </c>
      <c r="F59">
        <v>50.844000000000001</v>
      </c>
      <c r="G59" t="s">
        <v>17</v>
      </c>
      <c r="H59">
        <v>1.1599999999999999</v>
      </c>
      <c r="I59" s="2">
        <f t="shared" si="0"/>
        <v>58.979039999999998</v>
      </c>
      <c r="J59">
        <v>1.28</v>
      </c>
      <c r="K59">
        <v>65.08</v>
      </c>
      <c r="L59" t="s">
        <v>218</v>
      </c>
    </row>
    <row r="60" spans="1:12" x14ac:dyDescent="0.25">
      <c r="A60" t="s">
        <v>38</v>
      </c>
      <c r="B60" t="s">
        <v>260</v>
      </c>
      <c r="C60" t="s">
        <v>932</v>
      </c>
      <c r="D60" t="s">
        <v>933</v>
      </c>
      <c r="E60" t="s">
        <v>16</v>
      </c>
      <c r="F60">
        <v>50.203000000000003</v>
      </c>
      <c r="G60" t="s">
        <v>17</v>
      </c>
      <c r="H60">
        <v>1.1599999999999999</v>
      </c>
      <c r="I60" s="2">
        <f t="shared" si="0"/>
        <v>58.235480000000003</v>
      </c>
      <c r="J60">
        <v>1.28</v>
      </c>
      <c r="K60">
        <v>64.260000000000005</v>
      </c>
      <c r="L60" t="s">
        <v>946</v>
      </c>
    </row>
    <row r="61" spans="1:12" x14ac:dyDescent="0.25">
      <c r="A61" t="s">
        <v>38</v>
      </c>
      <c r="B61" t="s">
        <v>918</v>
      </c>
      <c r="C61" t="s">
        <v>888</v>
      </c>
      <c r="D61" t="s">
        <v>889</v>
      </c>
      <c r="E61" t="s">
        <v>16</v>
      </c>
      <c r="F61">
        <v>59.046999999999898</v>
      </c>
      <c r="G61" t="s">
        <v>17</v>
      </c>
      <c r="H61">
        <v>1.1599999999999999</v>
      </c>
      <c r="I61" s="2">
        <f t="shared" si="0"/>
        <v>68.494519999999881</v>
      </c>
      <c r="J61">
        <v>1.28</v>
      </c>
      <c r="K61">
        <v>75.58</v>
      </c>
      <c r="L61" t="s">
        <v>356</v>
      </c>
    </row>
    <row r="62" spans="1:12" x14ac:dyDescent="0.25">
      <c r="A62" t="s">
        <v>180</v>
      </c>
      <c r="B62" t="s">
        <v>99</v>
      </c>
      <c r="C62" t="s">
        <v>947</v>
      </c>
      <c r="D62" t="s">
        <v>948</v>
      </c>
      <c r="E62" t="s">
        <v>174</v>
      </c>
      <c r="F62">
        <v>74.691000000000003</v>
      </c>
      <c r="G62" t="s">
        <v>17</v>
      </c>
      <c r="H62">
        <v>1.42</v>
      </c>
      <c r="I62" s="2">
        <f t="shared" si="0"/>
        <v>106.06121999999999</v>
      </c>
      <c r="J62">
        <v>1.49</v>
      </c>
      <c r="K62">
        <v>111.29</v>
      </c>
      <c r="L62" t="s">
        <v>949</v>
      </c>
    </row>
    <row r="63" spans="1:12" x14ac:dyDescent="0.25">
      <c r="A63" t="s">
        <v>101</v>
      </c>
      <c r="B63" t="s">
        <v>99</v>
      </c>
      <c r="C63" t="s">
        <v>950</v>
      </c>
      <c r="D63" t="s">
        <v>951</v>
      </c>
      <c r="E63" t="s">
        <v>170</v>
      </c>
      <c r="F63">
        <v>55.070999999999898</v>
      </c>
      <c r="G63" t="s">
        <v>17</v>
      </c>
      <c r="H63">
        <v>1.37</v>
      </c>
      <c r="I63" s="2">
        <f t="shared" si="0"/>
        <v>75.447269999999861</v>
      </c>
      <c r="J63">
        <v>1.54</v>
      </c>
      <c r="K63">
        <v>84.81</v>
      </c>
      <c r="L63" t="s">
        <v>952</v>
      </c>
    </row>
    <row r="64" spans="1:12" x14ac:dyDescent="0.25">
      <c r="A64" t="s">
        <v>101</v>
      </c>
      <c r="B64" t="s">
        <v>52</v>
      </c>
      <c r="C64" t="s">
        <v>884</v>
      </c>
      <c r="D64" t="s">
        <v>885</v>
      </c>
      <c r="E64" t="s">
        <v>170</v>
      </c>
      <c r="F64">
        <v>57.792000000000002</v>
      </c>
      <c r="G64" t="s">
        <v>17</v>
      </c>
      <c r="H64">
        <v>1.37</v>
      </c>
      <c r="I64" s="2">
        <f t="shared" si="0"/>
        <v>79.17504000000001</v>
      </c>
      <c r="J64">
        <v>1.54</v>
      </c>
      <c r="K64">
        <v>89</v>
      </c>
      <c r="L64" t="s">
        <v>279</v>
      </c>
    </row>
    <row r="65" spans="1:12" x14ac:dyDescent="0.25">
      <c r="A65" t="s">
        <v>101</v>
      </c>
      <c r="B65" t="s">
        <v>260</v>
      </c>
      <c r="C65" t="s">
        <v>910</v>
      </c>
      <c r="D65" t="s">
        <v>911</v>
      </c>
      <c r="E65" t="s">
        <v>16</v>
      </c>
      <c r="F65">
        <v>56.597000000000001</v>
      </c>
      <c r="G65" t="s">
        <v>17</v>
      </c>
      <c r="H65">
        <v>1.1599999999999999</v>
      </c>
      <c r="I65" s="2">
        <f t="shared" si="0"/>
        <v>65.652519999999996</v>
      </c>
      <c r="J65">
        <v>1.29</v>
      </c>
      <c r="K65">
        <v>73.010000000000005</v>
      </c>
      <c r="L65" t="s">
        <v>953</v>
      </c>
    </row>
    <row r="66" spans="1:12" x14ac:dyDescent="0.25">
      <c r="A66" t="s">
        <v>41</v>
      </c>
      <c r="B66" t="s">
        <v>72</v>
      </c>
      <c r="C66" t="s">
        <v>932</v>
      </c>
      <c r="D66" t="s">
        <v>933</v>
      </c>
      <c r="E66" t="s">
        <v>16</v>
      </c>
      <c r="F66">
        <v>61.426000000000002</v>
      </c>
      <c r="G66" t="s">
        <v>17</v>
      </c>
      <c r="H66">
        <v>1.1599999999999999</v>
      </c>
      <c r="I66" s="2">
        <f t="shared" si="0"/>
        <v>71.254159999999999</v>
      </c>
      <c r="J66">
        <v>1.29</v>
      </c>
      <c r="K66">
        <v>79.239999999999995</v>
      </c>
      <c r="L66" t="s">
        <v>954</v>
      </c>
    </row>
    <row r="67" spans="1:12" x14ac:dyDescent="0.25">
      <c r="A67" t="s">
        <v>41</v>
      </c>
      <c r="B67" t="s">
        <v>893</v>
      </c>
      <c r="C67" t="s">
        <v>938</v>
      </c>
      <c r="D67" t="s">
        <v>939</v>
      </c>
      <c r="E67" t="s">
        <v>16</v>
      </c>
      <c r="F67">
        <v>51.201999999999899</v>
      </c>
      <c r="G67" t="s">
        <v>17</v>
      </c>
      <c r="H67">
        <v>1.1599999999999999</v>
      </c>
      <c r="I67" s="2">
        <f t="shared" ref="I67:I78" si="1">F67*H67</f>
        <v>59.39431999999988</v>
      </c>
      <c r="J67">
        <v>1.29</v>
      </c>
      <c r="K67">
        <v>66.05</v>
      </c>
      <c r="L67" t="s">
        <v>955</v>
      </c>
    </row>
    <row r="68" spans="1:12" x14ac:dyDescent="0.25">
      <c r="A68" t="s">
        <v>41</v>
      </c>
      <c r="B68" t="s">
        <v>144</v>
      </c>
      <c r="C68" t="s">
        <v>932</v>
      </c>
      <c r="D68" t="s">
        <v>933</v>
      </c>
      <c r="E68" t="s">
        <v>473</v>
      </c>
      <c r="F68">
        <v>6.6219999999999901</v>
      </c>
      <c r="G68" t="s">
        <v>17</v>
      </c>
      <c r="I68" s="2">
        <f t="shared" si="1"/>
        <v>0</v>
      </c>
      <c r="J68">
        <v>1.27</v>
      </c>
      <c r="K68">
        <v>8.41</v>
      </c>
      <c r="L68" t="s">
        <v>115</v>
      </c>
    </row>
    <row r="69" spans="1:12" x14ac:dyDescent="0.25">
      <c r="A69" t="s">
        <v>41</v>
      </c>
      <c r="B69" t="s">
        <v>144</v>
      </c>
      <c r="C69" t="s">
        <v>932</v>
      </c>
      <c r="D69" t="s">
        <v>933</v>
      </c>
      <c r="E69" t="s">
        <v>16</v>
      </c>
      <c r="F69">
        <v>52.649000000000001</v>
      </c>
      <c r="G69" t="s">
        <v>17</v>
      </c>
      <c r="H69">
        <v>1.1599999999999999</v>
      </c>
      <c r="I69" s="2">
        <f t="shared" si="1"/>
        <v>61.072839999999999</v>
      </c>
      <c r="J69">
        <v>1.31</v>
      </c>
      <c r="K69">
        <v>68.97</v>
      </c>
      <c r="L69" t="s">
        <v>956</v>
      </c>
    </row>
    <row r="70" spans="1:12" x14ac:dyDescent="0.25">
      <c r="A70" t="s">
        <v>43</v>
      </c>
      <c r="B70" t="s">
        <v>500</v>
      </c>
      <c r="C70" t="s">
        <v>932</v>
      </c>
      <c r="D70" t="s">
        <v>933</v>
      </c>
      <c r="E70" t="s">
        <v>16</v>
      </c>
      <c r="F70">
        <v>64.754000000000005</v>
      </c>
      <c r="G70" t="s">
        <v>17</v>
      </c>
      <c r="H70">
        <v>1.1599999999999999</v>
      </c>
      <c r="I70" s="2">
        <f t="shared" si="1"/>
        <v>75.114639999999994</v>
      </c>
      <c r="J70">
        <v>1.3</v>
      </c>
      <c r="K70">
        <v>84.18</v>
      </c>
      <c r="L70" t="s">
        <v>957</v>
      </c>
    </row>
    <row r="71" spans="1:12" x14ac:dyDescent="0.25">
      <c r="A71" t="s">
        <v>43</v>
      </c>
      <c r="B71" t="s">
        <v>68</v>
      </c>
      <c r="C71" t="s">
        <v>879</v>
      </c>
      <c r="D71" t="s">
        <v>880</v>
      </c>
      <c r="E71" t="s">
        <v>170</v>
      </c>
      <c r="F71">
        <v>59.923000000000002</v>
      </c>
      <c r="G71" t="s">
        <v>17</v>
      </c>
      <c r="H71">
        <v>1.37</v>
      </c>
      <c r="I71" s="2">
        <f t="shared" si="1"/>
        <v>82.094510000000014</v>
      </c>
      <c r="J71">
        <v>1.55</v>
      </c>
      <c r="K71">
        <v>92.88</v>
      </c>
      <c r="L71" t="s">
        <v>288</v>
      </c>
    </row>
    <row r="72" spans="1:12" x14ac:dyDescent="0.25">
      <c r="A72" t="s">
        <v>43</v>
      </c>
      <c r="B72" t="s">
        <v>404</v>
      </c>
      <c r="C72" t="s">
        <v>903</v>
      </c>
      <c r="D72" t="s">
        <v>904</v>
      </c>
      <c r="E72" t="s">
        <v>170</v>
      </c>
      <c r="F72">
        <v>77</v>
      </c>
      <c r="G72" t="s">
        <v>17</v>
      </c>
      <c r="H72">
        <v>1.37</v>
      </c>
      <c r="I72" s="2">
        <f t="shared" si="1"/>
        <v>105.49000000000001</v>
      </c>
      <c r="J72">
        <v>1.55</v>
      </c>
      <c r="K72">
        <v>119.35</v>
      </c>
      <c r="L72" t="s">
        <v>335</v>
      </c>
    </row>
    <row r="73" spans="1:12" x14ac:dyDescent="0.25">
      <c r="A73" t="s">
        <v>43</v>
      </c>
      <c r="B73" t="s">
        <v>79</v>
      </c>
      <c r="C73" t="s">
        <v>882</v>
      </c>
      <c r="D73" t="s">
        <v>883</v>
      </c>
      <c r="E73" t="s">
        <v>16</v>
      </c>
      <c r="F73">
        <v>66.930999999999898</v>
      </c>
      <c r="G73" t="s">
        <v>17</v>
      </c>
      <c r="H73">
        <v>1.1599999999999999</v>
      </c>
      <c r="I73" s="2">
        <f t="shared" si="1"/>
        <v>77.639959999999874</v>
      </c>
      <c r="J73">
        <v>1.3</v>
      </c>
      <c r="K73">
        <v>87.01</v>
      </c>
      <c r="L73" t="s">
        <v>525</v>
      </c>
    </row>
    <row r="74" spans="1:12" x14ac:dyDescent="0.25">
      <c r="A74" t="s">
        <v>91</v>
      </c>
      <c r="B74" t="s">
        <v>72</v>
      </c>
      <c r="C74" t="s">
        <v>958</v>
      </c>
      <c r="D74" t="s">
        <v>959</v>
      </c>
      <c r="E74" t="s">
        <v>16</v>
      </c>
      <c r="F74">
        <v>143.369</v>
      </c>
      <c r="G74" t="s">
        <v>17</v>
      </c>
      <c r="H74">
        <v>1.1599999999999999</v>
      </c>
      <c r="I74" s="2">
        <f t="shared" si="1"/>
        <v>166.30803999999998</v>
      </c>
      <c r="J74">
        <v>1.3</v>
      </c>
      <c r="K74">
        <v>186.38</v>
      </c>
      <c r="L74" t="s">
        <v>960</v>
      </c>
    </row>
    <row r="75" spans="1:12" x14ac:dyDescent="0.25">
      <c r="A75" t="s">
        <v>91</v>
      </c>
      <c r="B75" t="s">
        <v>99</v>
      </c>
      <c r="C75" t="s">
        <v>927</v>
      </c>
      <c r="D75" t="s">
        <v>928</v>
      </c>
      <c r="E75" t="s">
        <v>170</v>
      </c>
      <c r="F75">
        <v>53.548000000000002</v>
      </c>
      <c r="G75" t="s">
        <v>17</v>
      </c>
      <c r="H75">
        <v>1.37</v>
      </c>
      <c r="I75" s="2">
        <f t="shared" si="1"/>
        <v>73.360760000000013</v>
      </c>
      <c r="J75">
        <v>1.55</v>
      </c>
      <c r="K75">
        <v>83</v>
      </c>
      <c r="L75" t="s">
        <v>961</v>
      </c>
    </row>
    <row r="76" spans="1:12" x14ac:dyDescent="0.25">
      <c r="A76" t="s">
        <v>91</v>
      </c>
      <c r="B76" t="s">
        <v>79</v>
      </c>
      <c r="C76" t="s">
        <v>886</v>
      </c>
      <c r="D76" t="s">
        <v>887</v>
      </c>
      <c r="E76" t="s">
        <v>174</v>
      </c>
      <c r="F76">
        <v>95.207999999999899</v>
      </c>
      <c r="G76" t="s">
        <v>17</v>
      </c>
      <c r="H76">
        <v>1.42</v>
      </c>
      <c r="I76" s="2">
        <f t="shared" si="1"/>
        <v>135.19535999999985</v>
      </c>
      <c r="J76">
        <v>1.49</v>
      </c>
      <c r="K76">
        <v>141.86000000000001</v>
      </c>
      <c r="L76" t="s">
        <v>626</v>
      </c>
    </row>
    <row r="77" spans="1:12" x14ac:dyDescent="0.25">
      <c r="A77" t="s">
        <v>91</v>
      </c>
      <c r="B77" t="s">
        <v>144</v>
      </c>
      <c r="C77" t="s">
        <v>888</v>
      </c>
      <c r="D77" t="s">
        <v>889</v>
      </c>
      <c r="E77" t="s">
        <v>16</v>
      </c>
      <c r="F77">
        <v>41.567999999999898</v>
      </c>
      <c r="G77" t="s">
        <v>17</v>
      </c>
      <c r="H77">
        <v>1.1599999999999999</v>
      </c>
      <c r="I77" s="2">
        <f t="shared" si="1"/>
        <v>48.218879999999878</v>
      </c>
      <c r="J77">
        <v>1.32</v>
      </c>
      <c r="K77">
        <v>54.87</v>
      </c>
      <c r="L77" t="s">
        <v>962</v>
      </c>
    </row>
    <row r="78" spans="1:12" x14ac:dyDescent="0.25">
      <c r="A78" t="s">
        <v>45</v>
      </c>
      <c r="B78" t="s">
        <v>404</v>
      </c>
      <c r="C78" t="s">
        <v>920</v>
      </c>
      <c r="D78" t="s">
        <v>921</v>
      </c>
      <c r="E78" t="s">
        <v>170</v>
      </c>
      <c r="F78">
        <v>70</v>
      </c>
      <c r="G78" t="s">
        <v>17</v>
      </c>
      <c r="H78">
        <v>1.37</v>
      </c>
      <c r="I78" s="2">
        <f t="shared" si="1"/>
        <v>95.9</v>
      </c>
      <c r="J78">
        <v>1.55</v>
      </c>
      <c r="K78">
        <v>108.5</v>
      </c>
      <c r="L78" t="s">
        <v>488</v>
      </c>
    </row>
    <row r="79" spans="1:12" x14ac:dyDescent="0.25">
      <c r="F79" s="1">
        <f>SUM(F2:F57,F59:F78)</f>
        <v>4042.5689999999968</v>
      </c>
      <c r="I79" s="3">
        <f>SUM(I2:I78)</f>
        <v>4948.0210299999953</v>
      </c>
      <c r="K79" s="1">
        <f>SUM(K2:K78)</f>
        <v>5569.9400000000014</v>
      </c>
    </row>
    <row r="80" spans="1:12" x14ac:dyDescent="0.25">
      <c r="F80" s="1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L78"/>
  <sheetViews>
    <sheetView workbookViewId="0"/>
  </sheetViews>
  <sheetFormatPr defaultRowHeight="15" x14ac:dyDescent="0.25"/>
  <cols>
    <col min="1" max="1" width="10.42578125" bestFit="1" customWidth="1"/>
    <col min="2" max="2" width="33.28515625" bestFit="1" customWidth="1"/>
    <col min="3" max="3" width="10" bestFit="1" customWidth="1"/>
    <col min="4" max="4" width="18.28515625" bestFit="1" customWidth="1"/>
    <col min="5" max="5" width="39.28515625" bestFit="1" customWidth="1"/>
    <col min="6" max="6" width="8" bestFit="1" customWidth="1"/>
    <col min="7" max="7" width="15.28515625" bestFit="1" customWidth="1"/>
    <col min="8" max="8" width="9.42578125" bestFit="1" customWidth="1"/>
    <col min="9" max="9" width="17.42578125" bestFit="1" customWidth="1"/>
    <col min="10" max="10" width="9.42578125" bestFit="1" customWidth="1"/>
    <col min="11" max="11" width="17.42578125" bestFit="1" customWidth="1"/>
    <col min="12" max="12" width="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195</v>
      </c>
      <c r="B2" t="s">
        <v>498</v>
      </c>
      <c r="C2" t="s">
        <v>242</v>
      </c>
      <c r="D2" t="s">
        <v>963</v>
      </c>
      <c r="E2" t="s">
        <v>174</v>
      </c>
      <c r="F2">
        <v>51.682000000000002</v>
      </c>
      <c r="G2" t="s">
        <v>17</v>
      </c>
      <c r="J2">
        <v>1.51</v>
      </c>
      <c r="K2">
        <v>78.040000000000006</v>
      </c>
      <c r="L2" t="s">
        <v>194</v>
      </c>
    </row>
    <row r="3" spans="1:12" x14ac:dyDescent="0.25">
      <c r="A3" t="s">
        <v>195</v>
      </c>
      <c r="B3" t="s">
        <v>312</v>
      </c>
      <c r="C3" t="s">
        <v>964</v>
      </c>
      <c r="D3" t="s">
        <v>965</v>
      </c>
      <c r="E3" t="s">
        <v>65</v>
      </c>
      <c r="F3">
        <v>34.046999999999898</v>
      </c>
      <c r="G3" t="s">
        <v>17</v>
      </c>
      <c r="J3">
        <v>1.27</v>
      </c>
      <c r="K3">
        <v>43.24</v>
      </c>
      <c r="L3" t="s">
        <v>100</v>
      </c>
    </row>
    <row r="4" spans="1:12" x14ac:dyDescent="0.25">
      <c r="A4" t="s">
        <v>195</v>
      </c>
      <c r="B4" t="s">
        <v>312</v>
      </c>
      <c r="C4" t="s">
        <v>964</v>
      </c>
      <c r="D4" t="s">
        <v>965</v>
      </c>
      <c r="E4" t="s">
        <v>185</v>
      </c>
      <c r="F4">
        <v>2</v>
      </c>
      <c r="G4" t="s">
        <v>152</v>
      </c>
      <c r="J4">
        <v>8.18</v>
      </c>
      <c r="K4">
        <v>16.36</v>
      </c>
      <c r="L4" t="s">
        <v>100</v>
      </c>
    </row>
    <row r="5" spans="1:12" x14ac:dyDescent="0.25">
      <c r="A5" t="s">
        <v>51</v>
      </c>
      <c r="B5" t="s">
        <v>404</v>
      </c>
      <c r="C5" t="s">
        <v>966</v>
      </c>
      <c r="D5" t="s">
        <v>967</v>
      </c>
      <c r="E5" t="s">
        <v>16</v>
      </c>
      <c r="F5">
        <v>48.539000000000001</v>
      </c>
      <c r="G5" t="s">
        <v>17</v>
      </c>
      <c r="J5">
        <v>1.28</v>
      </c>
      <c r="K5">
        <v>62.13</v>
      </c>
      <c r="L5" t="s">
        <v>968</v>
      </c>
    </row>
    <row r="6" spans="1:12" x14ac:dyDescent="0.25">
      <c r="A6" t="s">
        <v>12</v>
      </c>
      <c r="B6" t="s">
        <v>39</v>
      </c>
      <c r="C6" t="s">
        <v>969</v>
      </c>
      <c r="D6" t="s">
        <v>970</v>
      </c>
      <c r="E6" t="s">
        <v>16</v>
      </c>
      <c r="F6">
        <v>38.695</v>
      </c>
      <c r="G6" t="s">
        <v>17</v>
      </c>
      <c r="J6">
        <v>1.28</v>
      </c>
      <c r="K6">
        <v>49.53</v>
      </c>
      <c r="L6" t="s">
        <v>971</v>
      </c>
    </row>
    <row r="7" spans="1:12" x14ac:dyDescent="0.25">
      <c r="A7" t="s">
        <v>12</v>
      </c>
      <c r="B7" t="s">
        <v>972</v>
      </c>
      <c r="C7" t="s">
        <v>973</v>
      </c>
      <c r="D7" t="s">
        <v>974</v>
      </c>
      <c r="E7" t="s">
        <v>16</v>
      </c>
      <c r="F7">
        <v>180.91300000000001</v>
      </c>
      <c r="G7" t="s">
        <v>17</v>
      </c>
      <c r="J7">
        <v>1.27</v>
      </c>
      <c r="K7">
        <v>229.76</v>
      </c>
      <c r="L7" t="s">
        <v>126</v>
      </c>
    </row>
    <row r="8" spans="1:12" x14ac:dyDescent="0.25">
      <c r="A8" t="s">
        <v>12</v>
      </c>
      <c r="B8" t="s">
        <v>806</v>
      </c>
      <c r="C8" t="s">
        <v>973</v>
      </c>
      <c r="D8" t="s">
        <v>974</v>
      </c>
      <c r="E8" t="s">
        <v>16</v>
      </c>
      <c r="F8">
        <v>97.093999999999895</v>
      </c>
      <c r="G8" t="s">
        <v>17</v>
      </c>
      <c r="J8">
        <v>1.28</v>
      </c>
      <c r="K8">
        <v>124.28</v>
      </c>
      <c r="L8" t="s">
        <v>975</v>
      </c>
    </row>
    <row r="9" spans="1:12" x14ac:dyDescent="0.25">
      <c r="A9" t="s">
        <v>19</v>
      </c>
      <c r="B9" t="s">
        <v>150</v>
      </c>
      <c r="C9" t="s">
        <v>976</v>
      </c>
      <c r="D9" t="s">
        <v>977</v>
      </c>
      <c r="E9" t="s">
        <v>16</v>
      </c>
      <c r="F9">
        <v>23.437999999999899</v>
      </c>
      <c r="G9" t="s">
        <v>17</v>
      </c>
      <c r="J9">
        <v>1.28</v>
      </c>
      <c r="K9">
        <v>30</v>
      </c>
      <c r="L9" t="s">
        <v>978</v>
      </c>
    </row>
    <row r="10" spans="1:12" x14ac:dyDescent="0.25">
      <c r="A10" t="s">
        <v>19</v>
      </c>
      <c r="B10" t="s">
        <v>806</v>
      </c>
      <c r="C10" t="s">
        <v>973</v>
      </c>
      <c r="D10" t="s">
        <v>974</v>
      </c>
      <c r="E10" t="s">
        <v>16</v>
      </c>
      <c r="F10">
        <v>114.633</v>
      </c>
      <c r="G10" t="s">
        <v>17</v>
      </c>
      <c r="J10">
        <v>1.28</v>
      </c>
      <c r="K10">
        <v>146.72999999999999</v>
      </c>
      <c r="L10" t="s">
        <v>979</v>
      </c>
    </row>
    <row r="11" spans="1:12" x14ac:dyDescent="0.25">
      <c r="A11" t="s">
        <v>19</v>
      </c>
      <c r="B11" t="s">
        <v>806</v>
      </c>
      <c r="C11" t="s">
        <v>980</v>
      </c>
      <c r="D11" t="s">
        <v>981</v>
      </c>
      <c r="E11" t="s">
        <v>16</v>
      </c>
      <c r="F11">
        <v>190</v>
      </c>
      <c r="G11" t="s">
        <v>17</v>
      </c>
      <c r="J11">
        <v>1.28</v>
      </c>
      <c r="K11">
        <v>243.2</v>
      </c>
      <c r="L11" t="s">
        <v>982</v>
      </c>
    </row>
    <row r="12" spans="1:12" x14ac:dyDescent="0.25">
      <c r="A12" t="s">
        <v>19</v>
      </c>
      <c r="B12" t="s">
        <v>806</v>
      </c>
      <c r="C12" t="s">
        <v>980</v>
      </c>
      <c r="D12" t="s">
        <v>981</v>
      </c>
      <c r="E12" t="s">
        <v>983</v>
      </c>
      <c r="F12">
        <v>1</v>
      </c>
      <c r="G12" t="s">
        <v>152</v>
      </c>
      <c r="J12">
        <v>6.9</v>
      </c>
      <c r="K12">
        <v>6.9</v>
      </c>
      <c r="L12" t="s">
        <v>982</v>
      </c>
    </row>
    <row r="13" spans="1:12" x14ac:dyDescent="0.25">
      <c r="A13" t="s">
        <v>61</v>
      </c>
      <c r="B13" t="s">
        <v>176</v>
      </c>
      <c r="C13" t="s">
        <v>559</v>
      </c>
      <c r="D13" t="s">
        <v>984</v>
      </c>
      <c r="E13" t="s">
        <v>65</v>
      </c>
      <c r="F13">
        <v>38.747999999999898</v>
      </c>
      <c r="G13" t="s">
        <v>17</v>
      </c>
      <c r="J13">
        <v>1.27</v>
      </c>
      <c r="K13">
        <v>49.21</v>
      </c>
      <c r="L13" t="s">
        <v>985</v>
      </c>
    </row>
    <row r="14" spans="1:12" x14ac:dyDescent="0.25">
      <c r="A14" t="s">
        <v>61</v>
      </c>
      <c r="B14" t="s">
        <v>72</v>
      </c>
      <c r="C14" t="s">
        <v>986</v>
      </c>
      <c r="D14" t="s">
        <v>987</v>
      </c>
      <c r="E14" t="s">
        <v>65</v>
      </c>
      <c r="F14">
        <v>15</v>
      </c>
      <c r="G14" t="s">
        <v>17</v>
      </c>
      <c r="J14">
        <v>1.25</v>
      </c>
      <c r="K14">
        <v>18.75</v>
      </c>
      <c r="L14" t="s">
        <v>988</v>
      </c>
    </row>
    <row r="15" spans="1:12" x14ac:dyDescent="0.25">
      <c r="A15" t="s">
        <v>61</v>
      </c>
      <c r="B15" t="s">
        <v>806</v>
      </c>
      <c r="C15" t="s">
        <v>973</v>
      </c>
      <c r="D15" t="s">
        <v>974</v>
      </c>
      <c r="E15" t="s">
        <v>16</v>
      </c>
      <c r="F15">
        <v>101.718999999999</v>
      </c>
      <c r="G15" t="s">
        <v>17</v>
      </c>
      <c r="J15">
        <v>1.28</v>
      </c>
      <c r="K15">
        <v>130.19999999999999</v>
      </c>
      <c r="L15" t="s">
        <v>989</v>
      </c>
    </row>
    <row r="16" spans="1:12" x14ac:dyDescent="0.25">
      <c r="A16" t="s">
        <v>61</v>
      </c>
      <c r="B16" t="s">
        <v>848</v>
      </c>
      <c r="C16" t="s">
        <v>572</v>
      </c>
      <c r="D16" t="s">
        <v>990</v>
      </c>
      <c r="E16" t="s">
        <v>636</v>
      </c>
      <c r="F16">
        <v>34.862000000000002</v>
      </c>
      <c r="G16" t="s">
        <v>17</v>
      </c>
      <c r="J16">
        <v>0.57999999999999996</v>
      </c>
      <c r="K16">
        <v>20.22</v>
      </c>
      <c r="L16" t="s">
        <v>671</v>
      </c>
    </row>
    <row r="17" spans="1:12" x14ac:dyDescent="0.25">
      <c r="A17" t="s">
        <v>106</v>
      </c>
      <c r="B17" t="s">
        <v>79</v>
      </c>
      <c r="C17" t="s">
        <v>991</v>
      </c>
      <c r="D17" t="s">
        <v>992</v>
      </c>
      <c r="E17" t="s">
        <v>16</v>
      </c>
      <c r="F17">
        <v>60.469000000000001</v>
      </c>
      <c r="G17" t="s">
        <v>17</v>
      </c>
      <c r="J17">
        <v>1.28</v>
      </c>
      <c r="K17">
        <v>77.400000000000006</v>
      </c>
      <c r="L17" t="s">
        <v>993</v>
      </c>
    </row>
    <row r="18" spans="1:12" x14ac:dyDescent="0.25">
      <c r="A18" t="s">
        <v>106</v>
      </c>
      <c r="B18" t="s">
        <v>79</v>
      </c>
      <c r="C18" t="s">
        <v>991</v>
      </c>
      <c r="D18" t="s">
        <v>992</v>
      </c>
      <c r="E18" t="s">
        <v>65</v>
      </c>
      <c r="F18">
        <v>24.056000000000001</v>
      </c>
      <c r="G18" t="s">
        <v>17</v>
      </c>
      <c r="J18">
        <v>1.24</v>
      </c>
      <c r="K18">
        <v>29.83</v>
      </c>
      <c r="L18" t="s">
        <v>993</v>
      </c>
    </row>
    <row r="19" spans="1:12" x14ac:dyDescent="0.25">
      <c r="A19" t="s">
        <v>304</v>
      </c>
      <c r="B19" t="s">
        <v>72</v>
      </c>
      <c r="C19" t="s">
        <v>986</v>
      </c>
      <c r="D19" t="s">
        <v>987</v>
      </c>
      <c r="E19" t="s">
        <v>16</v>
      </c>
      <c r="F19">
        <v>41.296999999999898</v>
      </c>
      <c r="G19" t="s">
        <v>17</v>
      </c>
      <c r="J19">
        <v>1.28</v>
      </c>
      <c r="K19">
        <v>52.86</v>
      </c>
      <c r="L19" t="s">
        <v>994</v>
      </c>
    </row>
    <row r="20" spans="1:12" x14ac:dyDescent="0.25">
      <c r="A20" t="s">
        <v>57</v>
      </c>
      <c r="B20" t="s">
        <v>99</v>
      </c>
      <c r="C20" t="s">
        <v>995</v>
      </c>
      <c r="D20" t="s">
        <v>996</v>
      </c>
      <c r="E20" t="s">
        <v>16</v>
      </c>
      <c r="F20">
        <v>84.453000000000003</v>
      </c>
      <c r="G20" t="s">
        <v>17</v>
      </c>
      <c r="J20">
        <v>1.28</v>
      </c>
      <c r="K20">
        <v>108.1</v>
      </c>
      <c r="L20" t="s">
        <v>854</v>
      </c>
    </row>
    <row r="21" spans="1:12" x14ac:dyDescent="0.25">
      <c r="A21" t="s">
        <v>57</v>
      </c>
      <c r="B21" t="s">
        <v>365</v>
      </c>
      <c r="C21" t="s">
        <v>964</v>
      </c>
      <c r="D21" t="s">
        <v>965</v>
      </c>
      <c r="E21" t="s">
        <v>16</v>
      </c>
      <c r="F21">
        <v>36.299999999999898</v>
      </c>
      <c r="G21" t="s">
        <v>17</v>
      </c>
      <c r="J21">
        <v>1.3</v>
      </c>
      <c r="K21">
        <v>47.19</v>
      </c>
      <c r="L21" t="s">
        <v>851</v>
      </c>
    </row>
    <row r="22" spans="1:12" x14ac:dyDescent="0.25">
      <c r="A22" t="s">
        <v>76</v>
      </c>
      <c r="B22" t="s">
        <v>404</v>
      </c>
      <c r="C22" t="s">
        <v>966</v>
      </c>
      <c r="D22" t="s">
        <v>967</v>
      </c>
      <c r="E22" t="s">
        <v>16</v>
      </c>
      <c r="F22">
        <v>42.241999999999898</v>
      </c>
      <c r="G22" t="s">
        <v>17</v>
      </c>
      <c r="J22">
        <v>1.28</v>
      </c>
      <c r="K22">
        <v>54.07</v>
      </c>
      <c r="L22" t="s">
        <v>667</v>
      </c>
    </row>
    <row r="23" spans="1:12" x14ac:dyDescent="0.25">
      <c r="A23" t="s">
        <v>76</v>
      </c>
      <c r="B23" t="s">
        <v>150</v>
      </c>
      <c r="C23" t="s">
        <v>980</v>
      </c>
      <c r="D23" t="s">
        <v>981</v>
      </c>
      <c r="E23" t="s">
        <v>16</v>
      </c>
      <c r="F23">
        <v>100</v>
      </c>
      <c r="G23" t="s">
        <v>17</v>
      </c>
      <c r="J23">
        <v>1.28</v>
      </c>
      <c r="K23">
        <v>128</v>
      </c>
      <c r="L23" t="s">
        <v>997</v>
      </c>
    </row>
    <row r="24" spans="1:12" x14ac:dyDescent="0.25">
      <c r="A24" t="s">
        <v>76</v>
      </c>
      <c r="B24" t="s">
        <v>848</v>
      </c>
      <c r="C24" t="s">
        <v>572</v>
      </c>
      <c r="D24" t="s">
        <v>990</v>
      </c>
      <c r="E24" t="s">
        <v>65</v>
      </c>
      <c r="F24">
        <v>32.064</v>
      </c>
      <c r="G24" t="s">
        <v>17</v>
      </c>
      <c r="J24">
        <v>1.25</v>
      </c>
      <c r="K24">
        <v>40.08</v>
      </c>
      <c r="L24" t="s">
        <v>998</v>
      </c>
    </row>
    <row r="25" spans="1:12" x14ac:dyDescent="0.25">
      <c r="A25" t="s">
        <v>76</v>
      </c>
      <c r="B25" t="s">
        <v>365</v>
      </c>
      <c r="C25" t="s">
        <v>999</v>
      </c>
      <c r="D25" t="s">
        <v>1000</v>
      </c>
      <c r="E25" t="s">
        <v>16</v>
      </c>
      <c r="F25">
        <v>68.007999999999896</v>
      </c>
      <c r="G25" t="s">
        <v>17</v>
      </c>
      <c r="J25">
        <v>1.3</v>
      </c>
      <c r="K25">
        <v>88.41</v>
      </c>
      <c r="L25" t="s">
        <v>1001</v>
      </c>
    </row>
    <row r="26" spans="1:12" x14ac:dyDescent="0.25">
      <c r="A26" t="s">
        <v>24</v>
      </c>
      <c r="B26" t="s">
        <v>806</v>
      </c>
      <c r="C26" t="s">
        <v>980</v>
      </c>
      <c r="D26" t="s">
        <v>981</v>
      </c>
      <c r="E26" t="s">
        <v>473</v>
      </c>
      <c r="F26">
        <v>24.59</v>
      </c>
      <c r="G26" t="s">
        <v>17</v>
      </c>
      <c r="J26">
        <v>1.22</v>
      </c>
      <c r="K26">
        <v>30</v>
      </c>
      <c r="L26" t="s">
        <v>1002</v>
      </c>
    </row>
    <row r="27" spans="1:12" x14ac:dyDescent="0.25">
      <c r="A27" t="s">
        <v>28</v>
      </c>
      <c r="B27" t="s">
        <v>806</v>
      </c>
      <c r="C27" t="s">
        <v>973</v>
      </c>
      <c r="D27" t="s">
        <v>974</v>
      </c>
      <c r="E27" t="s">
        <v>16</v>
      </c>
      <c r="F27">
        <v>150.148</v>
      </c>
      <c r="G27" t="s">
        <v>17</v>
      </c>
      <c r="J27">
        <v>1.28</v>
      </c>
      <c r="K27">
        <v>192.19</v>
      </c>
      <c r="L27" t="s">
        <v>1003</v>
      </c>
    </row>
    <row r="28" spans="1:12" x14ac:dyDescent="0.25">
      <c r="A28" t="s">
        <v>32</v>
      </c>
      <c r="B28" t="s">
        <v>99</v>
      </c>
      <c r="C28" t="s">
        <v>242</v>
      </c>
      <c r="D28" t="s">
        <v>1004</v>
      </c>
      <c r="E28" t="s">
        <v>65</v>
      </c>
      <c r="F28">
        <v>32</v>
      </c>
      <c r="G28" t="s">
        <v>17</v>
      </c>
      <c r="J28">
        <v>1.25</v>
      </c>
      <c r="K28">
        <v>40</v>
      </c>
      <c r="L28" t="s">
        <v>1005</v>
      </c>
    </row>
    <row r="29" spans="1:12" x14ac:dyDescent="0.25">
      <c r="A29" t="s">
        <v>32</v>
      </c>
      <c r="B29" t="s">
        <v>806</v>
      </c>
      <c r="C29" t="s">
        <v>1006</v>
      </c>
      <c r="D29" t="s">
        <v>1007</v>
      </c>
      <c r="E29" t="s">
        <v>16</v>
      </c>
      <c r="F29">
        <v>365</v>
      </c>
      <c r="G29" t="s">
        <v>17</v>
      </c>
      <c r="J29">
        <v>1.28</v>
      </c>
      <c r="K29">
        <v>467.2</v>
      </c>
      <c r="L29" t="s">
        <v>184</v>
      </c>
    </row>
    <row r="30" spans="1:12" x14ac:dyDescent="0.25">
      <c r="A30" t="s">
        <v>241</v>
      </c>
      <c r="B30" t="s">
        <v>498</v>
      </c>
      <c r="C30" t="s">
        <v>572</v>
      </c>
      <c r="D30" t="s">
        <v>990</v>
      </c>
      <c r="E30" t="s">
        <v>65</v>
      </c>
      <c r="F30">
        <v>49.008000000000003</v>
      </c>
      <c r="G30" t="s">
        <v>17</v>
      </c>
      <c r="J30">
        <v>1.27</v>
      </c>
      <c r="K30">
        <v>62.24</v>
      </c>
      <c r="L30" t="s">
        <v>546</v>
      </c>
    </row>
    <row r="31" spans="1:12" x14ac:dyDescent="0.25">
      <c r="A31" t="s">
        <v>241</v>
      </c>
      <c r="B31" t="s">
        <v>498</v>
      </c>
      <c r="C31" t="s">
        <v>572</v>
      </c>
      <c r="D31" t="s">
        <v>990</v>
      </c>
      <c r="E31" t="s">
        <v>636</v>
      </c>
      <c r="F31">
        <v>37.372999999999898</v>
      </c>
      <c r="G31" t="s">
        <v>17</v>
      </c>
      <c r="J31">
        <v>0.59</v>
      </c>
      <c r="K31">
        <v>22.05</v>
      </c>
      <c r="L31" t="s">
        <v>546</v>
      </c>
    </row>
    <row r="32" spans="1:12" x14ac:dyDescent="0.25">
      <c r="A32" t="s">
        <v>241</v>
      </c>
      <c r="B32" t="s">
        <v>312</v>
      </c>
      <c r="C32" t="s">
        <v>964</v>
      </c>
      <c r="D32" t="s">
        <v>965</v>
      </c>
      <c r="E32" t="s">
        <v>65</v>
      </c>
      <c r="F32">
        <v>19.550999999999899</v>
      </c>
      <c r="G32" t="s">
        <v>17</v>
      </c>
      <c r="J32">
        <v>1.27</v>
      </c>
      <c r="K32">
        <v>24.83</v>
      </c>
      <c r="L32" t="s">
        <v>799</v>
      </c>
    </row>
    <row r="33" spans="1:12" x14ac:dyDescent="0.25">
      <c r="A33" t="s">
        <v>241</v>
      </c>
      <c r="B33" t="s">
        <v>312</v>
      </c>
      <c r="C33" t="s">
        <v>964</v>
      </c>
      <c r="D33" t="s">
        <v>965</v>
      </c>
      <c r="E33" t="s">
        <v>636</v>
      </c>
      <c r="F33">
        <v>17.254000000000001</v>
      </c>
      <c r="G33" t="s">
        <v>17</v>
      </c>
      <c r="J33">
        <v>0.59</v>
      </c>
      <c r="K33">
        <v>10.18</v>
      </c>
      <c r="L33" t="s">
        <v>1008</v>
      </c>
    </row>
    <row r="34" spans="1:12" x14ac:dyDescent="0.25">
      <c r="A34" t="s">
        <v>81</v>
      </c>
      <c r="B34" t="s">
        <v>498</v>
      </c>
      <c r="C34" t="s">
        <v>242</v>
      </c>
      <c r="D34" t="s">
        <v>963</v>
      </c>
      <c r="E34" t="s">
        <v>174</v>
      </c>
      <c r="F34">
        <v>50.881</v>
      </c>
      <c r="G34" t="s">
        <v>17</v>
      </c>
      <c r="J34">
        <v>1.51</v>
      </c>
      <c r="K34">
        <v>76.83</v>
      </c>
      <c r="L34" t="s">
        <v>1009</v>
      </c>
    </row>
    <row r="35" spans="1:12" x14ac:dyDescent="0.25">
      <c r="A35" t="s">
        <v>81</v>
      </c>
      <c r="B35" t="s">
        <v>150</v>
      </c>
      <c r="C35" t="s">
        <v>976</v>
      </c>
      <c r="D35" t="s">
        <v>977</v>
      </c>
      <c r="E35" t="s">
        <v>16</v>
      </c>
      <c r="F35">
        <v>23.437999999999899</v>
      </c>
      <c r="G35" t="s">
        <v>17</v>
      </c>
      <c r="J35">
        <v>1.28</v>
      </c>
      <c r="K35">
        <v>30</v>
      </c>
      <c r="L35" t="s">
        <v>822</v>
      </c>
    </row>
    <row r="36" spans="1:12" x14ac:dyDescent="0.25">
      <c r="A36" t="s">
        <v>81</v>
      </c>
      <c r="B36" t="s">
        <v>312</v>
      </c>
      <c r="C36" t="s">
        <v>1010</v>
      </c>
      <c r="D36" t="s">
        <v>1011</v>
      </c>
      <c r="E36" t="s">
        <v>16</v>
      </c>
      <c r="F36">
        <v>51.7229999999999</v>
      </c>
      <c r="G36" t="s">
        <v>17</v>
      </c>
      <c r="J36">
        <v>1.3</v>
      </c>
      <c r="K36">
        <v>67.239999999999995</v>
      </c>
      <c r="L36" t="s">
        <v>444</v>
      </c>
    </row>
    <row r="37" spans="1:12" x14ac:dyDescent="0.25">
      <c r="A37" t="s">
        <v>85</v>
      </c>
      <c r="B37" t="s">
        <v>806</v>
      </c>
      <c r="C37" t="s">
        <v>980</v>
      </c>
      <c r="D37" t="s">
        <v>981</v>
      </c>
      <c r="E37" t="s">
        <v>16</v>
      </c>
      <c r="F37">
        <v>220</v>
      </c>
      <c r="G37" t="s">
        <v>17</v>
      </c>
      <c r="J37">
        <v>1.28</v>
      </c>
      <c r="K37">
        <v>281.60000000000002</v>
      </c>
      <c r="L37" t="s">
        <v>1012</v>
      </c>
    </row>
    <row r="38" spans="1:12" x14ac:dyDescent="0.25">
      <c r="A38" t="s">
        <v>85</v>
      </c>
      <c r="B38" t="s">
        <v>806</v>
      </c>
      <c r="C38" t="s">
        <v>973</v>
      </c>
      <c r="D38" t="s">
        <v>974</v>
      </c>
      <c r="E38" t="s">
        <v>16</v>
      </c>
      <c r="F38">
        <v>77.147999999999897</v>
      </c>
      <c r="G38" t="s">
        <v>17</v>
      </c>
      <c r="J38">
        <v>1.28</v>
      </c>
      <c r="K38">
        <v>98.75</v>
      </c>
      <c r="L38" t="s">
        <v>1013</v>
      </c>
    </row>
    <row r="39" spans="1:12" x14ac:dyDescent="0.25">
      <c r="A39" t="s">
        <v>85</v>
      </c>
      <c r="B39" t="s">
        <v>791</v>
      </c>
      <c r="C39" t="s">
        <v>969</v>
      </c>
      <c r="D39" t="s">
        <v>970</v>
      </c>
      <c r="E39" t="s">
        <v>16</v>
      </c>
      <c r="F39">
        <v>41.976999999999897</v>
      </c>
      <c r="G39" t="s">
        <v>17</v>
      </c>
      <c r="J39">
        <v>1.28</v>
      </c>
      <c r="K39">
        <v>53.73</v>
      </c>
      <c r="L39" t="s">
        <v>489</v>
      </c>
    </row>
    <row r="40" spans="1:12" x14ac:dyDescent="0.25">
      <c r="A40" t="s">
        <v>118</v>
      </c>
      <c r="B40" t="s">
        <v>128</v>
      </c>
      <c r="C40" t="s">
        <v>1014</v>
      </c>
      <c r="D40" t="s">
        <v>1015</v>
      </c>
      <c r="E40" t="s">
        <v>65</v>
      </c>
      <c r="F40">
        <v>61.558999999999898</v>
      </c>
      <c r="G40" t="s">
        <v>17</v>
      </c>
      <c r="J40">
        <v>1.27</v>
      </c>
      <c r="K40">
        <v>78.180000000000007</v>
      </c>
      <c r="L40" t="s">
        <v>292</v>
      </c>
    </row>
    <row r="41" spans="1:12" x14ac:dyDescent="0.25">
      <c r="A41" t="s">
        <v>118</v>
      </c>
      <c r="B41" t="s">
        <v>128</v>
      </c>
      <c r="C41" t="s">
        <v>1014</v>
      </c>
      <c r="D41" t="s">
        <v>1015</v>
      </c>
      <c r="E41" t="s">
        <v>1016</v>
      </c>
      <c r="F41">
        <v>1</v>
      </c>
      <c r="G41" t="s">
        <v>152</v>
      </c>
      <c r="J41">
        <v>22.39</v>
      </c>
      <c r="K41">
        <v>22.39</v>
      </c>
      <c r="L41" t="s">
        <v>292</v>
      </c>
    </row>
    <row r="42" spans="1:12" x14ac:dyDescent="0.25">
      <c r="A42" t="s">
        <v>118</v>
      </c>
      <c r="B42" t="s">
        <v>72</v>
      </c>
      <c r="C42" t="s">
        <v>986</v>
      </c>
      <c r="D42" t="s">
        <v>987</v>
      </c>
      <c r="E42" t="s">
        <v>16</v>
      </c>
      <c r="F42">
        <v>61.991999999999898</v>
      </c>
      <c r="G42" t="s">
        <v>17</v>
      </c>
      <c r="J42">
        <v>1.28</v>
      </c>
      <c r="K42">
        <v>79.349999999999994</v>
      </c>
      <c r="L42" t="s">
        <v>1017</v>
      </c>
    </row>
    <row r="43" spans="1:12" x14ac:dyDescent="0.25">
      <c r="A43" t="s">
        <v>118</v>
      </c>
      <c r="B43" t="s">
        <v>754</v>
      </c>
      <c r="C43" t="s">
        <v>572</v>
      </c>
      <c r="D43" t="s">
        <v>990</v>
      </c>
      <c r="E43" t="s">
        <v>65</v>
      </c>
      <c r="F43">
        <v>12.1869999999999</v>
      </c>
      <c r="G43" t="s">
        <v>17</v>
      </c>
      <c r="J43">
        <v>1.23</v>
      </c>
      <c r="K43">
        <v>14.99</v>
      </c>
      <c r="L43" t="s">
        <v>751</v>
      </c>
    </row>
    <row r="44" spans="1:12" x14ac:dyDescent="0.25">
      <c r="A44" t="s">
        <v>118</v>
      </c>
      <c r="B44" t="s">
        <v>754</v>
      </c>
      <c r="C44" t="s">
        <v>572</v>
      </c>
      <c r="D44" t="s">
        <v>990</v>
      </c>
      <c r="E44" t="s">
        <v>636</v>
      </c>
      <c r="F44">
        <v>19.754000000000001</v>
      </c>
      <c r="G44" t="s">
        <v>17</v>
      </c>
      <c r="J44">
        <v>0.56999999999999995</v>
      </c>
      <c r="K44">
        <v>11.26</v>
      </c>
      <c r="L44" t="s">
        <v>751</v>
      </c>
    </row>
    <row r="45" spans="1:12" x14ac:dyDescent="0.25">
      <c r="A45" t="s">
        <v>36</v>
      </c>
      <c r="B45" t="s">
        <v>365</v>
      </c>
      <c r="C45" t="s">
        <v>572</v>
      </c>
      <c r="D45" t="s">
        <v>990</v>
      </c>
      <c r="E45" t="s">
        <v>65</v>
      </c>
      <c r="F45">
        <v>30.1969999999999</v>
      </c>
      <c r="G45" t="s">
        <v>17</v>
      </c>
      <c r="J45">
        <v>1.27</v>
      </c>
      <c r="K45">
        <v>38.35</v>
      </c>
      <c r="L45" t="s">
        <v>1018</v>
      </c>
    </row>
    <row r="46" spans="1:12" x14ac:dyDescent="0.25">
      <c r="A46" t="s">
        <v>127</v>
      </c>
      <c r="B46" t="s">
        <v>39</v>
      </c>
      <c r="C46" t="s">
        <v>969</v>
      </c>
      <c r="D46" t="s">
        <v>970</v>
      </c>
      <c r="E46" t="s">
        <v>16</v>
      </c>
      <c r="F46">
        <v>39.366999999999898</v>
      </c>
      <c r="G46" t="s">
        <v>17</v>
      </c>
      <c r="J46">
        <v>1.28</v>
      </c>
      <c r="K46">
        <v>50.39</v>
      </c>
      <c r="L46" t="s">
        <v>1019</v>
      </c>
    </row>
    <row r="47" spans="1:12" x14ac:dyDescent="0.25">
      <c r="A47" t="s">
        <v>127</v>
      </c>
      <c r="B47" t="s">
        <v>806</v>
      </c>
      <c r="C47" t="s">
        <v>980</v>
      </c>
      <c r="D47" t="s">
        <v>981</v>
      </c>
      <c r="E47" t="s">
        <v>16</v>
      </c>
      <c r="F47">
        <v>180.023</v>
      </c>
      <c r="G47" t="s">
        <v>17</v>
      </c>
      <c r="J47">
        <v>1.28</v>
      </c>
      <c r="K47">
        <v>230.43</v>
      </c>
      <c r="L47" t="s">
        <v>551</v>
      </c>
    </row>
    <row r="48" spans="1:12" x14ac:dyDescent="0.25">
      <c r="A48" t="s">
        <v>127</v>
      </c>
      <c r="B48" t="s">
        <v>365</v>
      </c>
      <c r="C48" t="s">
        <v>999</v>
      </c>
      <c r="D48" t="s">
        <v>1000</v>
      </c>
      <c r="E48" t="s">
        <v>16</v>
      </c>
      <c r="F48">
        <v>41.054000000000002</v>
      </c>
      <c r="G48" t="s">
        <v>17</v>
      </c>
      <c r="J48">
        <v>1.3</v>
      </c>
      <c r="K48">
        <v>53.37</v>
      </c>
      <c r="L48" t="s">
        <v>1020</v>
      </c>
    </row>
    <row r="49" spans="1:12" x14ac:dyDescent="0.25">
      <c r="A49" t="s">
        <v>127</v>
      </c>
      <c r="B49" t="s">
        <v>312</v>
      </c>
      <c r="C49" t="s">
        <v>999</v>
      </c>
      <c r="D49" t="s">
        <v>1000</v>
      </c>
      <c r="E49" t="s">
        <v>16</v>
      </c>
      <c r="F49">
        <v>46.3539999999999</v>
      </c>
      <c r="G49" t="s">
        <v>17</v>
      </c>
      <c r="J49">
        <v>1.3</v>
      </c>
      <c r="K49">
        <v>60.26</v>
      </c>
      <c r="L49" t="s">
        <v>60</v>
      </c>
    </row>
    <row r="50" spans="1:12" x14ac:dyDescent="0.25">
      <c r="A50" t="s">
        <v>127</v>
      </c>
      <c r="B50" t="s">
        <v>144</v>
      </c>
      <c r="C50" t="s">
        <v>1021</v>
      </c>
      <c r="D50" t="s">
        <v>1022</v>
      </c>
      <c r="E50" t="s">
        <v>65</v>
      </c>
      <c r="F50">
        <v>14.173</v>
      </c>
      <c r="G50" t="s">
        <v>17</v>
      </c>
      <c r="J50">
        <v>1.27</v>
      </c>
      <c r="K50">
        <v>18</v>
      </c>
      <c r="L50" t="s">
        <v>1023</v>
      </c>
    </row>
    <row r="51" spans="1:12" x14ac:dyDescent="0.25">
      <c r="A51" t="s">
        <v>127</v>
      </c>
      <c r="B51" t="s">
        <v>144</v>
      </c>
      <c r="C51" t="s">
        <v>1021</v>
      </c>
      <c r="D51" t="s">
        <v>1022</v>
      </c>
      <c r="E51" t="s">
        <v>636</v>
      </c>
      <c r="F51">
        <v>30.7929999999999</v>
      </c>
      <c r="G51" t="s">
        <v>17</v>
      </c>
      <c r="J51">
        <v>0.57999999999999996</v>
      </c>
      <c r="K51">
        <v>17.86</v>
      </c>
      <c r="L51" t="s">
        <v>1023</v>
      </c>
    </row>
    <row r="52" spans="1:12" x14ac:dyDescent="0.25">
      <c r="A52" t="s">
        <v>38</v>
      </c>
      <c r="B52" t="s">
        <v>72</v>
      </c>
      <c r="C52" t="s">
        <v>995</v>
      </c>
      <c r="D52" t="s">
        <v>996</v>
      </c>
      <c r="E52" t="s">
        <v>16</v>
      </c>
      <c r="F52">
        <v>38.421999999999898</v>
      </c>
      <c r="G52" t="s">
        <v>17</v>
      </c>
      <c r="J52">
        <v>1.28</v>
      </c>
      <c r="K52">
        <v>49.18</v>
      </c>
      <c r="L52" t="s">
        <v>824</v>
      </c>
    </row>
    <row r="53" spans="1:12" x14ac:dyDescent="0.25">
      <c r="A53" t="s">
        <v>38</v>
      </c>
      <c r="B53" t="s">
        <v>754</v>
      </c>
      <c r="C53" t="s">
        <v>964</v>
      </c>
      <c r="D53" t="s">
        <v>965</v>
      </c>
      <c r="E53" t="s">
        <v>636</v>
      </c>
      <c r="F53">
        <v>19.456</v>
      </c>
      <c r="G53" t="s">
        <v>17</v>
      </c>
      <c r="J53">
        <v>0.56999999999999995</v>
      </c>
      <c r="K53">
        <v>11.09</v>
      </c>
      <c r="L53" t="s">
        <v>1024</v>
      </c>
    </row>
    <row r="54" spans="1:12" x14ac:dyDescent="0.25">
      <c r="A54" t="s">
        <v>180</v>
      </c>
      <c r="B54" t="s">
        <v>404</v>
      </c>
      <c r="C54" t="s">
        <v>966</v>
      </c>
      <c r="D54" t="s">
        <v>967</v>
      </c>
      <c r="E54" t="s">
        <v>16</v>
      </c>
      <c r="F54">
        <v>48</v>
      </c>
      <c r="G54" t="s">
        <v>17</v>
      </c>
      <c r="J54">
        <v>1.29</v>
      </c>
      <c r="K54">
        <v>61.92</v>
      </c>
      <c r="L54" t="s">
        <v>1025</v>
      </c>
    </row>
    <row r="55" spans="1:12" x14ac:dyDescent="0.25">
      <c r="A55" t="s">
        <v>101</v>
      </c>
      <c r="B55" t="s">
        <v>834</v>
      </c>
      <c r="C55" t="s">
        <v>986</v>
      </c>
      <c r="D55" t="s">
        <v>987</v>
      </c>
      <c r="E55" t="s">
        <v>16</v>
      </c>
      <c r="F55">
        <v>47.886000000000003</v>
      </c>
      <c r="G55" t="s">
        <v>17</v>
      </c>
      <c r="J55">
        <v>1.32</v>
      </c>
      <c r="K55">
        <v>63.21</v>
      </c>
      <c r="L55" t="s">
        <v>31</v>
      </c>
    </row>
    <row r="56" spans="1:12" x14ac:dyDescent="0.25">
      <c r="A56" t="s">
        <v>101</v>
      </c>
      <c r="B56" t="s">
        <v>99</v>
      </c>
      <c r="C56" t="s">
        <v>1026</v>
      </c>
      <c r="D56" t="s">
        <v>1027</v>
      </c>
      <c r="E56" t="s">
        <v>170</v>
      </c>
      <c r="F56">
        <v>77.194999999999894</v>
      </c>
      <c r="G56" t="s">
        <v>17</v>
      </c>
      <c r="J56">
        <v>1.54</v>
      </c>
      <c r="K56">
        <v>118.88</v>
      </c>
      <c r="L56" t="s">
        <v>201</v>
      </c>
    </row>
    <row r="57" spans="1:12" x14ac:dyDescent="0.25">
      <c r="A57" t="s">
        <v>101</v>
      </c>
      <c r="B57" t="s">
        <v>330</v>
      </c>
      <c r="C57" t="s">
        <v>1028</v>
      </c>
      <c r="D57" t="s">
        <v>1029</v>
      </c>
      <c r="E57" t="s">
        <v>16</v>
      </c>
      <c r="F57">
        <v>272.93</v>
      </c>
      <c r="G57" t="s">
        <v>17</v>
      </c>
      <c r="J57">
        <v>1.29</v>
      </c>
      <c r="K57">
        <v>352.08</v>
      </c>
      <c r="L57" t="s">
        <v>1030</v>
      </c>
    </row>
    <row r="58" spans="1:12" x14ac:dyDescent="0.25">
      <c r="A58" t="s">
        <v>41</v>
      </c>
      <c r="B58" t="s">
        <v>848</v>
      </c>
      <c r="C58" t="s">
        <v>572</v>
      </c>
      <c r="D58" t="s">
        <v>990</v>
      </c>
      <c r="E58" t="s">
        <v>65</v>
      </c>
      <c r="F58">
        <v>39.448</v>
      </c>
      <c r="G58" t="s">
        <v>17</v>
      </c>
      <c r="J58">
        <v>1.25</v>
      </c>
      <c r="K58">
        <v>49.31</v>
      </c>
      <c r="L58" t="s">
        <v>428</v>
      </c>
    </row>
    <row r="59" spans="1:12" x14ac:dyDescent="0.25">
      <c r="A59" t="s">
        <v>43</v>
      </c>
      <c r="B59" t="s">
        <v>99</v>
      </c>
      <c r="C59" t="s">
        <v>1026</v>
      </c>
      <c r="D59" t="s">
        <v>1027</v>
      </c>
      <c r="E59" t="s">
        <v>16</v>
      </c>
      <c r="F59">
        <v>21.469000000000001</v>
      </c>
      <c r="G59" t="s">
        <v>17</v>
      </c>
      <c r="J59">
        <v>1.3</v>
      </c>
      <c r="K59">
        <v>27.91</v>
      </c>
      <c r="L59" t="s">
        <v>290</v>
      </c>
    </row>
    <row r="60" spans="1:12" x14ac:dyDescent="0.25">
      <c r="A60" t="s">
        <v>43</v>
      </c>
      <c r="B60" t="s">
        <v>227</v>
      </c>
      <c r="C60" t="s">
        <v>966</v>
      </c>
      <c r="D60" t="s">
        <v>967</v>
      </c>
      <c r="E60" t="s">
        <v>16</v>
      </c>
      <c r="F60">
        <v>57.636000000000003</v>
      </c>
      <c r="G60" t="s">
        <v>17</v>
      </c>
      <c r="J60">
        <v>1.29</v>
      </c>
      <c r="K60">
        <v>74.349999999999994</v>
      </c>
      <c r="L60" t="s">
        <v>917</v>
      </c>
    </row>
    <row r="61" spans="1:12" x14ac:dyDescent="0.25">
      <c r="A61" t="s">
        <v>91</v>
      </c>
      <c r="B61" t="s">
        <v>806</v>
      </c>
      <c r="C61" t="s">
        <v>980</v>
      </c>
      <c r="D61" t="s">
        <v>981</v>
      </c>
      <c r="E61" t="s">
        <v>16</v>
      </c>
      <c r="F61">
        <v>180.00800000000001</v>
      </c>
      <c r="G61" t="s">
        <v>17</v>
      </c>
      <c r="J61">
        <v>1.3</v>
      </c>
      <c r="K61">
        <v>234.01</v>
      </c>
      <c r="L61" t="s">
        <v>851</v>
      </c>
    </row>
    <row r="62" spans="1:12" x14ac:dyDescent="0.25">
      <c r="A62" t="s">
        <v>91</v>
      </c>
      <c r="B62" t="s">
        <v>363</v>
      </c>
      <c r="C62" t="s">
        <v>986</v>
      </c>
      <c r="D62" t="s">
        <v>987</v>
      </c>
      <c r="E62" t="s">
        <v>16</v>
      </c>
      <c r="F62">
        <v>44.622999999999898</v>
      </c>
      <c r="G62" t="s">
        <v>17</v>
      </c>
      <c r="J62">
        <v>1.3</v>
      </c>
      <c r="K62">
        <v>58.01</v>
      </c>
      <c r="L62" t="s">
        <v>1002</v>
      </c>
    </row>
    <row r="63" spans="1:12" x14ac:dyDescent="0.25">
      <c r="A63" t="s">
        <v>91</v>
      </c>
      <c r="B63" t="s">
        <v>87</v>
      </c>
      <c r="C63" t="s">
        <v>1028</v>
      </c>
      <c r="D63" t="s">
        <v>1029</v>
      </c>
      <c r="E63" t="s">
        <v>16</v>
      </c>
      <c r="F63">
        <v>194.688999999999</v>
      </c>
      <c r="G63" t="s">
        <v>17</v>
      </c>
      <c r="J63">
        <v>1.32</v>
      </c>
      <c r="K63">
        <v>256.99</v>
      </c>
      <c r="L63" t="s">
        <v>1031</v>
      </c>
    </row>
    <row r="64" spans="1:12" x14ac:dyDescent="0.25">
      <c r="A64" t="s">
        <v>91</v>
      </c>
      <c r="B64" t="s">
        <v>312</v>
      </c>
      <c r="C64" t="s">
        <v>964</v>
      </c>
      <c r="D64" t="s">
        <v>965</v>
      </c>
      <c r="E64" t="s">
        <v>65</v>
      </c>
      <c r="F64">
        <v>38.328000000000003</v>
      </c>
      <c r="G64" t="s">
        <v>17</v>
      </c>
      <c r="J64">
        <v>1.28</v>
      </c>
      <c r="K64">
        <v>49.06</v>
      </c>
      <c r="L64" t="s">
        <v>644</v>
      </c>
    </row>
    <row r="65" spans="1:12" x14ac:dyDescent="0.25">
      <c r="A65" t="s">
        <v>91</v>
      </c>
      <c r="B65" t="s">
        <v>312</v>
      </c>
      <c r="C65" t="s">
        <v>964</v>
      </c>
      <c r="D65" t="s">
        <v>965</v>
      </c>
      <c r="E65" t="s">
        <v>1016</v>
      </c>
      <c r="F65">
        <v>1</v>
      </c>
      <c r="G65" t="s">
        <v>152</v>
      </c>
      <c r="J65">
        <v>22.39</v>
      </c>
      <c r="K65">
        <v>22.39</v>
      </c>
      <c r="L65" t="s">
        <v>644</v>
      </c>
    </row>
    <row r="66" spans="1:12" x14ac:dyDescent="0.25">
      <c r="A66" t="s">
        <v>45</v>
      </c>
      <c r="B66" t="s">
        <v>176</v>
      </c>
      <c r="C66" t="s">
        <v>1014</v>
      </c>
      <c r="D66" t="s">
        <v>1015</v>
      </c>
      <c r="E66" t="s">
        <v>65</v>
      </c>
      <c r="F66">
        <v>20.094000000000001</v>
      </c>
      <c r="G66" t="s">
        <v>17</v>
      </c>
      <c r="J66">
        <v>1.28</v>
      </c>
      <c r="K66">
        <v>25.72</v>
      </c>
      <c r="L66" t="s">
        <v>522</v>
      </c>
    </row>
    <row r="67" spans="1:12" x14ac:dyDescent="0.25">
      <c r="A67" t="s">
        <v>45</v>
      </c>
      <c r="B67" t="s">
        <v>99</v>
      </c>
      <c r="C67" t="s">
        <v>1026</v>
      </c>
      <c r="D67" t="s">
        <v>1027</v>
      </c>
      <c r="E67" t="s">
        <v>16</v>
      </c>
      <c r="F67">
        <v>22.530999999999899</v>
      </c>
      <c r="G67" t="s">
        <v>17</v>
      </c>
      <c r="J67">
        <v>1.3</v>
      </c>
      <c r="K67">
        <v>29.29</v>
      </c>
      <c r="L67" t="s">
        <v>290</v>
      </c>
    </row>
    <row r="68" spans="1:12" x14ac:dyDescent="0.25">
      <c r="A68" t="s">
        <v>45</v>
      </c>
      <c r="B68" t="s">
        <v>99</v>
      </c>
      <c r="C68" t="s">
        <v>242</v>
      </c>
      <c r="D68" t="s">
        <v>1004</v>
      </c>
      <c r="E68" t="s">
        <v>65</v>
      </c>
      <c r="F68">
        <v>32.579000000000001</v>
      </c>
      <c r="G68" t="s">
        <v>17</v>
      </c>
      <c r="J68">
        <v>1.26</v>
      </c>
      <c r="K68">
        <v>41.05</v>
      </c>
      <c r="L68" t="s">
        <v>1032</v>
      </c>
    </row>
    <row r="69" spans="1:12" x14ac:dyDescent="0.25">
      <c r="A69" t="s">
        <v>45</v>
      </c>
      <c r="B69" t="s">
        <v>140</v>
      </c>
      <c r="C69" t="s">
        <v>1033</v>
      </c>
      <c r="D69" t="s">
        <v>1034</v>
      </c>
      <c r="E69" t="s">
        <v>16</v>
      </c>
      <c r="F69">
        <v>26.861999999999899</v>
      </c>
      <c r="G69" t="s">
        <v>17</v>
      </c>
      <c r="J69">
        <v>1.3</v>
      </c>
      <c r="K69">
        <v>34.92</v>
      </c>
      <c r="L69" t="s">
        <v>417</v>
      </c>
    </row>
    <row r="70" spans="1:12" x14ac:dyDescent="0.25">
      <c r="A70" t="s">
        <v>45</v>
      </c>
      <c r="B70" t="s">
        <v>140</v>
      </c>
      <c r="C70" t="s">
        <v>1033</v>
      </c>
      <c r="D70" t="s">
        <v>1034</v>
      </c>
      <c r="E70" t="s">
        <v>151</v>
      </c>
      <c r="F70">
        <v>1</v>
      </c>
      <c r="G70" t="s">
        <v>152</v>
      </c>
      <c r="J70">
        <v>24.54</v>
      </c>
      <c r="K70">
        <v>24.54</v>
      </c>
      <c r="L70" t="s">
        <v>417</v>
      </c>
    </row>
    <row r="71" spans="1:12" x14ac:dyDescent="0.25">
      <c r="A71" t="s">
        <v>45</v>
      </c>
      <c r="B71" t="s">
        <v>140</v>
      </c>
      <c r="C71" t="s">
        <v>1035</v>
      </c>
      <c r="D71" t="s">
        <v>1036</v>
      </c>
      <c r="E71" t="s">
        <v>170</v>
      </c>
      <c r="F71">
        <v>60.813000000000002</v>
      </c>
      <c r="G71" t="s">
        <v>17</v>
      </c>
      <c r="J71">
        <v>1.55</v>
      </c>
      <c r="K71">
        <v>94.26</v>
      </c>
      <c r="L71" t="s">
        <v>705</v>
      </c>
    </row>
    <row r="72" spans="1:12" x14ac:dyDescent="0.25">
      <c r="A72" t="s">
        <v>45</v>
      </c>
      <c r="B72" t="s">
        <v>365</v>
      </c>
      <c r="C72" t="s">
        <v>1010</v>
      </c>
      <c r="D72" t="s">
        <v>1011</v>
      </c>
      <c r="E72" t="s">
        <v>65</v>
      </c>
      <c r="F72">
        <v>24.3279999999999</v>
      </c>
      <c r="G72" t="s">
        <v>17</v>
      </c>
      <c r="J72">
        <v>1.28</v>
      </c>
      <c r="K72">
        <v>31.14</v>
      </c>
      <c r="L72" t="s">
        <v>1037</v>
      </c>
    </row>
    <row r="73" spans="1:12" x14ac:dyDescent="0.25">
      <c r="A73" t="s">
        <v>45</v>
      </c>
      <c r="B73" t="s">
        <v>79</v>
      </c>
      <c r="C73" t="s">
        <v>1026</v>
      </c>
      <c r="D73" t="s">
        <v>1027</v>
      </c>
      <c r="E73" t="s">
        <v>16</v>
      </c>
      <c r="F73">
        <v>22.231000000000002</v>
      </c>
      <c r="G73" t="s">
        <v>17</v>
      </c>
      <c r="J73">
        <v>1.3</v>
      </c>
      <c r="K73">
        <v>28.9</v>
      </c>
      <c r="L73" t="s">
        <v>313</v>
      </c>
    </row>
    <row r="74" spans="1:12" x14ac:dyDescent="0.25">
      <c r="A74" t="s">
        <v>45</v>
      </c>
      <c r="B74" t="s">
        <v>1038</v>
      </c>
      <c r="C74" t="s">
        <v>572</v>
      </c>
      <c r="D74" t="s">
        <v>990</v>
      </c>
      <c r="E74" t="s">
        <v>636</v>
      </c>
      <c r="F74">
        <v>39.569000000000003</v>
      </c>
      <c r="G74" t="s">
        <v>17</v>
      </c>
      <c r="J74">
        <v>0.57999999999999996</v>
      </c>
      <c r="K74">
        <v>22.95</v>
      </c>
      <c r="L74" t="s">
        <v>71</v>
      </c>
    </row>
    <row r="75" spans="1:12" x14ac:dyDescent="0.25">
      <c r="A75" t="s">
        <v>116</v>
      </c>
      <c r="B75" t="s">
        <v>838</v>
      </c>
      <c r="C75" t="s">
        <v>964</v>
      </c>
      <c r="D75" t="s">
        <v>965</v>
      </c>
      <c r="E75" t="s">
        <v>636</v>
      </c>
      <c r="F75">
        <v>23.483000000000001</v>
      </c>
      <c r="G75" t="s">
        <v>17</v>
      </c>
      <c r="J75">
        <v>0.57999999999999996</v>
      </c>
      <c r="K75">
        <v>13.62</v>
      </c>
      <c r="L75" t="s">
        <v>952</v>
      </c>
    </row>
    <row r="76" spans="1:12" x14ac:dyDescent="0.25">
      <c r="A76" t="s">
        <v>116</v>
      </c>
      <c r="B76" t="s">
        <v>227</v>
      </c>
      <c r="C76" t="s">
        <v>1039</v>
      </c>
      <c r="D76" t="s">
        <v>1040</v>
      </c>
      <c r="E76" t="s">
        <v>65</v>
      </c>
      <c r="F76">
        <v>30</v>
      </c>
      <c r="G76" t="s">
        <v>17</v>
      </c>
      <c r="J76">
        <v>1.25</v>
      </c>
      <c r="K76">
        <v>37.5</v>
      </c>
      <c r="L76" t="s">
        <v>387</v>
      </c>
    </row>
    <row r="77" spans="1:12" x14ac:dyDescent="0.25">
      <c r="A77" t="s">
        <v>116</v>
      </c>
      <c r="B77" t="s">
        <v>1041</v>
      </c>
      <c r="C77" t="s">
        <v>1042</v>
      </c>
      <c r="D77" t="s">
        <v>1043</v>
      </c>
      <c r="E77" t="s">
        <v>16</v>
      </c>
      <c r="F77">
        <v>58.201000000000001</v>
      </c>
      <c r="G77" t="s">
        <v>17</v>
      </c>
      <c r="J77">
        <v>1.34</v>
      </c>
      <c r="K77">
        <v>77.989999999999995</v>
      </c>
      <c r="L77" t="s">
        <v>1044</v>
      </c>
    </row>
    <row r="78" spans="1:12" x14ac:dyDescent="0.25">
      <c r="A78" t="s">
        <v>116</v>
      </c>
      <c r="B78" t="s">
        <v>369</v>
      </c>
      <c r="C78" t="s">
        <v>1045</v>
      </c>
      <c r="D78" t="s">
        <v>1046</v>
      </c>
      <c r="E78" t="s">
        <v>16</v>
      </c>
      <c r="F78">
        <v>46</v>
      </c>
      <c r="G78" t="s">
        <v>17</v>
      </c>
      <c r="J78">
        <v>1.31</v>
      </c>
      <c r="K78">
        <v>60.26</v>
      </c>
      <c r="L78" t="s">
        <v>1047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Аграрен Университет Пловдив</vt:lpstr>
      <vt:lpstr>Адига ЕООД</vt:lpstr>
      <vt:lpstr>Анива</vt:lpstr>
      <vt:lpstr>БКС Долни Чифлик</vt:lpstr>
      <vt:lpstr>Веселин Стефанов Желязков ЗП</vt:lpstr>
      <vt:lpstr>Делор 20 ЕООД</vt:lpstr>
      <vt:lpstr>Демакс АД Група 1</vt:lpstr>
      <vt:lpstr>Демакс АД Група 2</vt:lpstr>
      <vt:lpstr>Диляна – 02 ЕООД</vt:lpstr>
      <vt:lpstr>Димитров Експрес Карго </vt:lpstr>
      <vt:lpstr>Диянис ЕООД</vt:lpstr>
      <vt:lpstr>Док транс ЕООД</vt:lpstr>
      <vt:lpstr>Евро транс Премиум</vt:lpstr>
      <vt:lpstr>Желязков инженеринг ЕООД</vt:lpstr>
      <vt:lpstr>Живко Неделчев Димитров ЕГН 760</vt:lpstr>
      <vt:lpstr>Земеделска техника ООД</vt:lpstr>
      <vt:lpstr>Иво Иванов ЧЗС</vt:lpstr>
      <vt:lpstr>Ивон Строй 2015 ЕООД</vt:lpstr>
      <vt:lpstr>Киров тур еоод</vt:lpstr>
      <vt:lpstr>Комерс Нови Пазар ЕООД</vt:lpstr>
      <vt:lpstr>Меркурий производство и Пакетаж</vt:lpstr>
      <vt:lpstr>Мултиарт ЕООД</vt:lpstr>
      <vt:lpstr>Община Белослав</vt:lpstr>
      <vt:lpstr>Община Добричка</vt:lpstr>
      <vt:lpstr>Пантекс Агро ЕООД</vt:lpstr>
      <vt:lpstr>Пантекс агро ЕООД1</vt:lpstr>
      <vt:lpstr>Поди ЕООД</vt:lpstr>
      <vt:lpstr>Поларис</vt:lpstr>
      <vt:lpstr>Скала - 13 Стойчо Стойчев ЕТ</vt:lpstr>
      <vt:lpstr>Скимпорт група 1</vt:lpstr>
      <vt:lpstr>Скимпорт група 2</vt:lpstr>
      <vt:lpstr>Спедстрой ООД</vt:lpstr>
      <vt:lpstr>Фрозен фуудс ЕООД</vt:lpstr>
      <vt:lpstr>Фуудс трейд</vt:lpstr>
      <vt:lpstr>Хранинвест - Доставки</vt:lpstr>
      <vt:lpstr>Хранинвест - Търговци</vt:lpstr>
      <vt:lpstr>Хрнинвест - Продажби</vt:lpstr>
      <vt:lpstr>Unknown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Plamen Svetoslavov</cp:lastModifiedBy>
  <dcterms:created xsi:type="dcterms:W3CDTF">2026-03-08T11:58:32Z</dcterms:created>
  <dcterms:modified xsi:type="dcterms:W3CDTF">2026-03-08T15:38:54Z</dcterms:modified>
</cp:coreProperties>
</file>